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/>
  <mc:AlternateContent xmlns:mc="http://schemas.openxmlformats.org/markup-compatibility/2006">
    <mc:Choice Requires="x15">
      <x15ac:absPath xmlns:x15ac="http://schemas.microsoft.com/office/spreadsheetml/2010/11/ac" url="/Users/igoryatsenko/Desktop/"/>
    </mc:Choice>
  </mc:AlternateContent>
  <xr:revisionPtr revIDLastSave="0" documentId="8_{10F2BDE3-7AB3-0D4A-9B0E-22D8F632E7D4}" xr6:coauthVersionLast="47" xr6:coauthVersionMax="47" xr10:uidLastSave="{00000000-0000-0000-0000-000000000000}"/>
  <bookViews>
    <workbookView xWindow="8900" yWindow="460" windowWidth="24020" windowHeight="12020" xr2:uid="{00000000-000D-0000-FFFF-FFFF00000000}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82" i="1" l="1"/>
  <c r="H82" i="1" s="1"/>
  <c r="E82" i="1"/>
  <c r="E81" i="1"/>
  <c r="J62" i="1" s="1"/>
  <c r="E79" i="1"/>
  <c r="E80" i="1" s="1"/>
  <c r="I74" i="1"/>
  <c r="H74" i="1"/>
  <c r="G74" i="1"/>
  <c r="J73" i="1"/>
  <c r="H73" i="1"/>
  <c r="I73" i="1" s="1"/>
  <c r="G73" i="1"/>
  <c r="H72" i="1"/>
  <c r="I72" i="1" s="1"/>
  <c r="G72" i="1"/>
  <c r="H71" i="1"/>
  <c r="G71" i="1"/>
  <c r="I70" i="1"/>
  <c r="H70" i="1"/>
  <c r="G70" i="1"/>
  <c r="J69" i="1"/>
  <c r="H69" i="1"/>
  <c r="I69" i="1" s="1"/>
  <c r="G69" i="1"/>
  <c r="H68" i="1"/>
  <c r="I67" i="1"/>
  <c r="H67" i="1"/>
  <c r="G67" i="1"/>
  <c r="J66" i="1"/>
  <c r="H66" i="1"/>
  <c r="G66" i="1"/>
  <c r="I66" i="1" s="1"/>
  <c r="H65" i="1"/>
  <c r="G65" i="1"/>
  <c r="H64" i="1"/>
  <c r="G64" i="1"/>
  <c r="I63" i="1"/>
  <c r="H63" i="1"/>
  <c r="G63" i="1"/>
  <c r="H62" i="1"/>
  <c r="G62" i="1"/>
  <c r="I62" i="1" s="1"/>
  <c r="H61" i="1"/>
  <c r="G61" i="1"/>
  <c r="H60" i="1"/>
  <c r="G60" i="1"/>
  <c r="I59" i="1"/>
  <c r="H59" i="1"/>
  <c r="G59" i="1"/>
  <c r="H58" i="1"/>
  <c r="G58" i="1"/>
  <c r="I58" i="1" s="1"/>
  <c r="H57" i="1"/>
  <c r="G57" i="1"/>
  <c r="H56" i="1"/>
  <c r="G56" i="1"/>
  <c r="I55" i="1"/>
  <c r="H55" i="1"/>
  <c r="G55" i="1"/>
  <c r="J54" i="1"/>
  <c r="H54" i="1"/>
  <c r="G54" i="1"/>
  <c r="I54" i="1" s="1"/>
  <c r="H53" i="1"/>
  <c r="I53" i="1" s="1"/>
  <c r="G53" i="1"/>
  <c r="H52" i="1"/>
  <c r="G52" i="1"/>
  <c r="I51" i="1"/>
  <c r="H51" i="1"/>
  <c r="G51" i="1"/>
  <c r="J50" i="1"/>
  <c r="H50" i="1"/>
  <c r="G50" i="1"/>
  <c r="I50" i="1" s="1"/>
  <c r="H49" i="1"/>
  <c r="G49" i="1"/>
  <c r="H48" i="1"/>
  <c r="G48" i="1"/>
  <c r="I47" i="1"/>
  <c r="H47" i="1"/>
  <c r="G47" i="1"/>
  <c r="H46" i="1"/>
  <c r="G46" i="1"/>
  <c r="I46" i="1" s="1"/>
  <c r="H45" i="1"/>
  <c r="G45" i="1"/>
  <c r="H44" i="1"/>
  <c r="G44" i="1"/>
  <c r="I43" i="1"/>
  <c r="H43" i="1"/>
  <c r="G43" i="1"/>
  <c r="H42" i="1"/>
  <c r="G42" i="1"/>
  <c r="I42" i="1" s="1"/>
  <c r="H41" i="1"/>
  <c r="G41" i="1"/>
  <c r="H40" i="1"/>
  <c r="G40" i="1"/>
  <c r="I39" i="1"/>
  <c r="H39" i="1"/>
  <c r="G39" i="1"/>
  <c r="J38" i="1"/>
  <c r="H38" i="1"/>
  <c r="G38" i="1"/>
  <c r="I38" i="1" s="1"/>
  <c r="H37" i="1"/>
  <c r="I37" i="1" s="1"/>
  <c r="G37" i="1"/>
  <c r="H36" i="1"/>
  <c r="G36" i="1"/>
  <c r="I35" i="1"/>
  <c r="H35" i="1"/>
  <c r="G35" i="1"/>
  <c r="J34" i="1"/>
  <c r="H34" i="1"/>
  <c r="G34" i="1"/>
  <c r="I34" i="1" s="1"/>
  <c r="H33" i="1"/>
  <c r="G33" i="1"/>
  <c r="H32" i="1"/>
  <c r="G32" i="1"/>
  <c r="I31" i="1"/>
  <c r="H31" i="1"/>
  <c r="G31" i="1"/>
  <c r="H30" i="1"/>
  <c r="G30" i="1"/>
  <c r="I30" i="1" s="1"/>
  <c r="H29" i="1"/>
  <c r="G29" i="1"/>
  <c r="H28" i="1"/>
  <c r="G28" i="1"/>
  <c r="I27" i="1"/>
  <c r="H27" i="1"/>
  <c r="G27" i="1"/>
  <c r="H26" i="1"/>
  <c r="G26" i="1"/>
  <c r="I26" i="1" s="1"/>
  <c r="H24" i="1"/>
  <c r="G24" i="1"/>
  <c r="I23" i="1"/>
  <c r="H23" i="1"/>
  <c r="G23" i="1"/>
  <c r="H22" i="1"/>
  <c r="G22" i="1"/>
  <c r="I22" i="1" s="1"/>
  <c r="H21" i="1"/>
  <c r="G21" i="1"/>
  <c r="H20" i="1"/>
  <c r="G20" i="1"/>
  <c r="I19" i="1"/>
  <c r="H19" i="1"/>
  <c r="G19" i="1"/>
  <c r="H18" i="1"/>
  <c r="G18" i="1"/>
  <c r="I18" i="1" s="1"/>
  <c r="H17" i="1"/>
  <c r="G17" i="1"/>
  <c r="H16" i="1"/>
  <c r="G16" i="1"/>
  <c r="I15" i="1"/>
  <c r="H15" i="1"/>
  <c r="G15" i="1"/>
  <c r="J14" i="1"/>
  <c r="H14" i="1"/>
  <c r="G14" i="1"/>
  <c r="I14" i="1" s="1"/>
  <c r="H13" i="1"/>
  <c r="I13" i="1" s="1"/>
  <c r="G13" i="1"/>
  <c r="H12" i="1"/>
  <c r="G12" i="1"/>
  <c r="I11" i="1"/>
  <c r="H11" i="1"/>
  <c r="G11" i="1"/>
  <c r="J10" i="1"/>
  <c r="H10" i="1"/>
  <c r="G10" i="1"/>
  <c r="I10" i="1" s="1"/>
  <c r="H9" i="1"/>
  <c r="G9" i="1"/>
  <c r="H8" i="1"/>
  <c r="G8" i="1"/>
  <c r="J7" i="1"/>
  <c r="H7" i="1"/>
  <c r="G7" i="1"/>
  <c r="I7" i="1" s="1"/>
  <c r="B7" i="1"/>
  <c r="B8" i="1" s="1"/>
  <c r="H6" i="1"/>
  <c r="J6" i="1" s="1"/>
  <c r="G6" i="1"/>
  <c r="I5" i="1"/>
  <c r="H5" i="1"/>
  <c r="G5" i="1"/>
  <c r="B5" i="1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H4" i="1"/>
  <c r="G4" i="1"/>
  <c r="B4" i="1"/>
  <c r="A4" i="1"/>
  <c r="J3" i="1"/>
  <c r="I3" i="1"/>
  <c r="H3" i="1"/>
  <c r="G3" i="1"/>
  <c r="J28" i="1" l="1"/>
  <c r="I28" i="1"/>
  <c r="I4" i="1"/>
  <c r="J4" i="1"/>
  <c r="J20" i="1"/>
  <c r="I20" i="1"/>
  <c r="J44" i="1"/>
  <c r="I44" i="1"/>
  <c r="G83" i="1"/>
  <c r="J40" i="1"/>
  <c r="I40" i="1"/>
  <c r="I65" i="1"/>
  <c r="J5" i="1"/>
  <c r="J12" i="1"/>
  <c r="I12" i="1"/>
  <c r="I21" i="1"/>
  <c r="J22" i="1"/>
  <c r="I29" i="1"/>
  <c r="J30" i="1"/>
  <c r="J36" i="1"/>
  <c r="I36" i="1"/>
  <c r="I45" i="1"/>
  <c r="J46" i="1"/>
  <c r="J52" i="1"/>
  <c r="I52" i="1"/>
  <c r="I61" i="1"/>
  <c r="J71" i="1"/>
  <c r="I71" i="1"/>
  <c r="J60" i="1"/>
  <c r="I60" i="1"/>
  <c r="I6" i="1"/>
  <c r="I9" i="1"/>
  <c r="J16" i="1"/>
  <c r="I16" i="1"/>
  <c r="I33" i="1"/>
  <c r="I49" i="1"/>
  <c r="J56" i="1"/>
  <c r="I56" i="1"/>
  <c r="J74" i="1"/>
  <c r="J70" i="1"/>
  <c r="J67" i="1"/>
  <c r="J63" i="1"/>
  <c r="J59" i="1"/>
  <c r="J55" i="1"/>
  <c r="J51" i="1"/>
  <c r="J43" i="1"/>
  <c r="J39" i="1"/>
  <c r="J35" i="1"/>
  <c r="J27" i="1"/>
  <c r="J19" i="1"/>
  <c r="J15" i="1"/>
  <c r="J47" i="1"/>
  <c r="J31" i="1"/>
  <c r="J23" i="1"/>
  <c r="J11" i="1"/>
  <c r="J8" i="1"/>
  <c r="I8" i="1"/>
  <c r="I17" i="1"/>
  <c r="J18" i="1"/>
  <c r="J24" i="1"/>
  <c r="I24" i="1"/>
  <c r="J26" i="1"/>
  <c r="J32" i="1"/>
  <c r="I32" i="1"/>
  <c r="I41" i="1"/>
  <c r="J42" i="1"/>
  <c r="J48" i="1"/>
  <c r="I48" i="1"/>
  <c r="I57" i="1"/>
  <c r="J58" i="1"/>
  <c r="J64" i="1"/>
  <c r="I64" i="1"/>
  <c r="J9" i="1"/>
  <c r="J13" i="1"/>
  <c r="J17" i="1"/>
  <c r="J21" i="1"/>
  <c r="J29" i="1"/>
  <c r="J33" i="1"/>
  <c r="J37" i="1"/>
  <c r="J41" i="1"/>
  <c r="J45" i="1"/>
  <c r="J49" i="1"/>
  <c r="J53" i="1"/>
  <c r="J57" i="1"/>
  <c r="J61" i="1"/>
  <c r="J65" i="1"/>
  <c r="J72" i="1"/>
  <c r="E83" i="1"/>
  <c r="H83" i="1" l="1"/>
</calcChain>
</file>

<file path=xl/sharedStrings.xml><?xml version="1.0" encoding="utf-8"?>
<sst xmlns="http://schemas.openxmlformats.org/spreadsheetml/2006/main" count="107" uniqueCount="76">
  <si>
    <t>№</t>
  </si>
  <si>
    <t>Образец</t>
  </si>
  <si>
    <t>Массы, г</t>
  </si>
  <si>
    <t>Навески, г</t>
  </si>
  <si>
    <t>Ионол, мг</t>
  </si>
  <si>
    <t>+FW</t>
  </si>
  <si>
    <t>+DCM</t>
  </si>
  <si>
    <t>Сыр. вес</t>
  </si>
  <si>
    <t>ДХМ</t>
  </si>
  <si>
    <t>Thuja plicata</t>
  </si>
  <si>
    <t>Juniperus rigida</t>
  </si>
  <si>
    <t>4/73</t>
  </si>
  <si>
    <t>Microbiota decussata</t>
  </si>
  <si>
    <t>247596</t>
  </si>
  <si>
    <t>202515</t>
  </si>
  <si>
    <t>Cupressus nootkatensis</t>
  </si>
  <si>
    <t>20140030</t>
  </si>
  <si>
    <t>20140023</t>
  </si>
  <si>
    <t>Juniperus davurica</t>
  </si>
  <si>
    <t>252947</t>
  </si>
  <si>
    <t>299338/72</t>
  </si>
  <si>
    <t>423705</t>
  </si>
  <si>
    <t>305660</t>
  </si>
  <si>
    <t>Juniperus scopulorum</t>
  </si>
  <si>
    <t>342963/79</t>
  </si>
  <si>
    <t>Juniperus pseudosabina</t>
  </si>
  <si>
    <t>236061</t>
  </si>
  <si>
    <t>254450</t>
  </si>
  <si>
    <t>28043</t>
  </si>
  <si>
    <t>249972</t>
  </si>
  <si>
    <t>248592</t>
  </si>
  <si>
    <t>Juniperus virginiana</t>
  </si>
  <si>
    <t>315380_1,1</t>
  </si>
  <si>
    <t>315380_1,3</t>
  </si>
  <si>
    <t>315380_1,2</t>
  </si>
  <si>
    <t>45989-1</t>
  </si>
  <si>
    <t>45989-2</t>
  </si>
  <si>
    <t>45989-3</t>
  </si>
  <si>
    <t>18-1</t>
  </si>
  <si>
    <t>Juníperus sabína</t>
  </si>
  <si>
    <t>18-2</t>
  </si>
  <si>
    <t>18-3</t>
  </si>
  <si>
    <t>45990-1</t>
  </si>
  <si>
    <t>Juniperus communis</t>
  </si>
  <si>
    <t>45990-2</t>
  </si>
  <si>
    <t>45990-3</t>
  </si>
  <si>
    <t>49612_L</t>
  </si>
  <si>
    <t>Chamaecýparis pisífera</t>
  </si>
  <si>
    <t>49612_D</t>
  </si>
  <si>
    <t>10833_2</t>
  </si>
  <si>
    <t>10833_1</t>
  </si>
  <si>
    <t>LoveSun1</t>
  </si>
  <si>
    <t>288244_1</t>
  </si>
  <si>
    <t>288244_2</t>
  </si>
  <si>
    <t>62390_1</t>
  </si>
  <si>
    <t>Thúja occidentális</t>
  </si>
  <si>
    <t>62390_2</t>
  </si>
  <si>
    <t>235076-1</t>
  </si>
  <si>
    <t>235076-2</t>
  </si>
  <si>
    <t>Масса пустой колбы, 100см3</t>
  </si>
  <si>
    <t>Колба с ДХМ</t>
  </si>
  <si>
    <t>Навеска ионола, г</t>
  </si>
  <si>
    <t>Масса ДХМ</t>
  </si>
  <si>
    <t>Плотность ДХМ</t>
  </si>
  <si>
    <t>Концентрация ионола, %</t>
  </si>
  <si>
    <t>RSD</t>
  </si>
  <si>
    <t>Масса пустой виалы, n=71</t>
  </si>
  <si>
    <t>±</t>
  </si>
  <si>
    <t>Средняя навеска, г</t>
  </si>
  <si>
    <t>Chamaecyparis lawsoniana 'Ellwoodii'</t>
  </si>
  <si>
    <t>Chamaecyparis lawsoniana ?</t>
  </si>
  <si>
    <t>Juniperus communis var. saxatilis (J. sibirica)</t>
  </si>
  <si>
    <t>Juniperus communis (J. suecica)</t>
  </si>
  <si>
    <t>Juniperus pseudosabina (J.turkestanica)</t>
  </si>
  <si>
    <t>Juníperus chinensis var. sargéntii</t>
  </si>
  <si>
    <t>Thujopsis dolabrata 'Variegata'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</si>
</sst>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0%"/>
    <numFmt numFmtId="166" formatCode="0.0000"/>
  </numFmts>
  <fonts count="8" x14ac:knownFonts="1">
    <font>
      <sz val="11"/>
      <color theme="1"/>
      <name val="Calibri"/>
      <scheme val="minor"/>
    </font>
    <font>
      <i/>
      <sz val="11"/>
      <color theme="1"/>
      <name val="Calibri"/>
      <scheme val="minor"/>
    </font>
    <font>
      <b/>
      <sz val="11"/>
      <color theme="1"/>
      <name val="Calibri"/>
      <scheme val="minor"/>
    </font>
    <font>
      <b/>
      <i/>
      <sz val="11"/>
      <color theme="1"/>
      <name val="Calibri"/>
      <scheme val="minor"/>
    </font>
    <font>
      <strike/>
      <sz val="11"/>
      <color theme="1"/>
      <name val="Calibri"/>
      <scheme val="minor"/>
    </font>
    <font>
      <b/>
      <strike/>
      <sz val="11"/>
      <color theme="1"/>
      <name val="Calibri"/>
      <scheme val="minor"/>
    </font>
    <font>
      <sz val="11"/>
      <color theme="1"/>
      <name val="Arial"/>
    </font>
    <font>
      <sz val="11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none"/>
    </fill>
    <fill>
      <patternFill patternType="solid">
        <fgColor indexed="5"/>
        <bgColor indexed="5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9" fontId="7" fillId="2" borderId="0" applyFont="0" applyFill="0" applyBorder="0"/>
  </cellStyleXfs>
  <cellXfs count="44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wrapText="1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49" fontId="1" fillId="0" borderId="1" xfId="0" applyNumberFormat="1" applyFont="1" applyBorder="1" applyAlignment="1">
      <alignment horizontal="center" wrapText="1"/>
    </xf>
    <xf numFmtId="49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49" fontId="0" fillId="0" borderId="0" xfId="0" applyNumberFormat="1" applyAlignment="1">
      <alignment horizontal="center"/>
    </xf>
    <xf numFmtId="164" fontId="0" fillId="0" borderId="0" xfId="0" applyNumberFormat="1" applyAlignment="1">
      <alignment horizontal="right"/>
    </xf>
    <xf numFmtId="2" fontId="0" fillId="0" borderId="0" xfId="0" applyNumberFormat="1"/>
    <xf numFmtId="0" fontId="0" fillId="0" borderId="2" xfId="0" applyBorder="1" applyAlignment="1">
      <alignment horizontal="center"/>
    </xf>
    <xf numFmtId="49" fontId="0" fillId="0" borderId="2" xfId="0" applyNumberForma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2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/>
    </xf>
    <xf numFmtId="164" fontId="0" fillId="0" borderId="2" xfId="0" applyNumberFormat="1" applyBorder="1" applyAlignment="1">
      <alignment horizontal="right"/>
    </xf>
    <xf numFmtId="0" fontId="4" fillId="0" borderId="2" xfId="0" applyFont="1" applyBorder="1" applyAlignment="1">
      <alignment horizontal="center"/>
    </xf>
    <xf numFmtId="49" fontId="4" fillId="0" borderId="2" xfId="0" applyNumberFormat="1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164" fontId="4" fillId="0" borderId="2" xfId="0" applyNumberFormat="1" applyFont="1" applyBorder="1" applyAlignment="1">
      <alignment horizontal="right"/>
    </xf>
    <xf numFmtId="165" fontId="0" fillId="0" borderId="0" xfId="1" applyNumberFormat="1" applyFill="1" applyAlignment="1">
      <alignment horizontal="center"/>
    </xf>
    <xf numFmtId="0" fontId="0" fillId="0" borderId="0" xfId="0" applyAlignment="1">
      <alignment horizontal="right"/>
    </xf>
    <xf numFmtId="0" fontId="6" fillId="0" borderId="0" xfId="0" applyFont="1" applyAlignment="1">
      <alignment horizontal="center"/>
    </xf>
    <xf numFmtId="0" fontId="0" fillId="0" borderId="0" xfId="0" applyAlignment="1">
      <alignment horizontal="left"/>
    </xf>
    <xf numFmtId="9" fontId="0" fillId="0" borderId="0" xfId="1" applyNumberFormat="1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1" xfId="0" applyNumberFormat="1" applyBorder="1" applyAlignment="1">
      <alignment horizontal="center"/>
    </xf>
    <xf numFmtId="0" fontId="2" fillId="0" borderId="0" xfId="0" applyFont="1" applyAlignment="1">
      <alignment horizontal="center"/>
    </xf>
    <xf numFmtId="49" fontId="3" fillId="0" borderId="0" xfId="0" applyNumberFormat="1" applyFont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49" fontId="3" fillId="0" borderId="0" xfId="0" applyNumberFormat="1" applyFont="1" applyAlignment="1">
      <alignment horizontal="center" wrapText="1"/>
    </xf>
    <xf numFmtId="49" fontId="3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horizontal="center" wrapText="1"/>
    </xf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7"/>
  <sheetViews>
    <sheetView tabSelected="1" topLeftCell="A42" workbookViewId="0">
      <selection activeCell="C33" sqref="C33:C34"/>
    </sheetView>
  </sheetViews>
  <sheetFormatPr baseColWidth="10" defaultColWidth="8.83203125" defaultRowHeight="15" x14ac:dyDescent="0.2"/>
  <cols>
    <col min="1" max="1" width="9.1640625" style="1"/>
    <col min="2" max="2" width="10.5" style="2" customWidth="1"/>
    <col min="3" max="3" width="17.5" style="3" customWidth="1"/>
    <col min="4" max="8" width="9.1640625" style="1"/>
    <col min="10" max="10" width="11" customWidth="1"/>
  </cols>
  <sheetData>
    <row r="1" spans="1:10" x14ac:dyDescent="0.2">
      <c r="A1" s="34" t="s">
        <v>0</v>
      </c>
      <c r="B1" s="36" t="s">
        <v>1</v>
      </c>
      <c r="C1" s="5"/>
      <c r="D1" s="38" t="s">
        <v>2</v>
      </c>
      <c r="E1" s="38"/>
      <c r="F1" s="38"/>
      <c r="G1" s="38" t="s">
        <v>3</v>
      </c>
      <c r="H1" s="38"/>
      <c r="J1" s="8" t="s">
        <v>4</v>
      </c>
    </row>
    <row r="2" spans="1:10" x14ac:dyDescent="0.2">
      <c r="A2" s="35"/>
      <c r="B2" s="37"/>
      <c r="C2" s="9"/>
      <c r="D2" s="10">
        <v>0</v>
      </c>
      <c r="E2" s="10" t="s">
        <v>5</v>
      </c>
      <c r="F2" s="10" t="s">
        <v>6</v>
      </c>
      <c r="G2" s="11" t="s">
        <v>7</v>
      </c>
      <c r="H2" s="11" t="s">
        <v>8</v>
      </c>
    </row>
    <row r="3" spans="1:10" x14ac:dyDescent="0.2">
      <c r="A3" s="1">
        <v>1</v>
      </c>
      <c r="B3" s="12">
        <v>238174</v>
      </c>
      <c r="C3" s="39" t="s">
        <v>9</v>
      </c>
      <c r="D3" s="1">
        <v>2.7551999999999999</v>
      </c>
      <c r="E3" s="1">
        <v>2.9055</v>
      </c>
      <c r="F3" s="1">
        <v>3.6778</v>
      </c>
      <c r="G3" s="7">
        <f t="shared" ref="G3:G24" si="0">E3-D3</f>
        <v>0.1503000000000001</v>
      </c>
      <c r="H3" s="1">
        <f t="shared" ref="H3:H24" si="1">F3-E3</f>
        <v>0.77229999999999999</v>
      </c>
      <c r="I3" s="13">
        <f t="shared" ref="I3:I24" si="2">H3/G3</f>
        <v>5.1383898868928775</v>
      </c>
      <c r="J3" s="14">
        <f t="shared" ref="J3:J24" si="3">(H3*$E$81)*1000</f>
        <v>0.39826506009562823</v>
      </c>
    </row>
    <row r="4" spans="1:10" x14ac:dyDescent="0.2">
      <c r="A4" s="1">
        <f t="shared" ref="A4:A35" si="4">A3+1</f>
        <v>2</v>
      </c>
      <c r="B4" s="12">
        <f>B3</f>
        <v>238174</v>
      </c>
      <c r="C4" s="39"/>
      <c r="D4" s="1">
        <v>2.7646000000000002</v>
      </c>
      <c r="E4" s="1">
        <v>2.9195000000000002</v>
      </c>
      <c r="F4" s="1">
        <v>3.7715999999999998</v>
      </c>
      <c r="G4" s="7">
        <f t="shared" si="0"/>
        <v>0.15490000000000004</v>
      </c>
      <c r="H4" s="1">
        <f t="shared" si="1"/>
        <v>0.85209999999999964</v>
      </c>
      <c r="I4" s="13">
        <f t="shared" si="2"/>
        <v>5.5009683666881823</v>
      </c>
      <c r="J4" s="14">
        <f t="shared" si="3"/>
        <v>0.43941688166189913</v>
      </c>
    </row>
    <row r="5" spans="1:10" x14ac:dyDescent="0.2">
      <c r="A5" s="15">
        <f t="shared" si="4"/>
        <v>3</v>
      </c>
      <c r="B5" s="16">
        <f>B4</f>
        <v>238174</v>
      </c>
      <c r="C5" s="40"/>
      <c r="D5" s="15">
        <v>2.7229000000000001</v>
      </c>
      <c r="E5" s="15">
        <v>2.8689</v>
      </c>
      <c r="F5" s="15">
        <v>3.7564000000000002</v>
      </c>
      <c r="G5" s="17">
        <f t="shared" si="0"/>
        <v>0.14599999999999991</v>
      </c>
      <c r="H5" s="15">
        <f t="shared" si="1"/>
        <v>0.88750000000000018</v>
      </c>
      <c r="I5" s="13">
        <f t="shared" si="2"/>
        <v>6.0787671232876761</v>
      </c>
      <c r="J5" s="14">
        <f t="shared" si="3"/>
        <v>0.45767220100332789</v>
      </c>
    </row>
    <row r="6" spans="1:10" x14ac:dyDescent="0.2">
      <c r="A6" s="1">
        <f t="shared" si="4"/>
        <v>4</v>
      </c>
      <c r="B6" s="12">
        <v>318939</v>
      </c>
      <c r="C6" s="39" t="s">
        <v>10</v>
      </c>
      <c r="D6" s="1">
        <v>2.8380999999999998</v>
      </c>
      <c r="E6" s="1">
        <v>3.0712999999999999</v>
      </c>
      <c r="F6" s="1">
        <v>4.8129</v>
      </c>
      <c r="G6" s="7">
        <f t="shared" si="0"/>
        <v>0.23320000000000007</v>
      </c>
      <c r="H6" s="1">
        <f t="shared" si="1"/>
        <v>1.7416</v>
      </c>
      <c r="I6" s="13">
        <f t="shared" si="2"/>
        <v>7.4682675814751267</v>
      </c>
      <c r="J6" s="14">
        <f t="shared" si="3"/>
        <v>0.89812045663931916</v>
      </c>
    </row>
    <row r="7" spans="1:10" x14ac:dyDescent="0.2">
      <c r="A7" s="1">
        <f t="shared" si="4"/>
        <v>5</v>
      </c>
      <c r="B7" s="12">
        <f>B6</f>
        <v>318939</v>
      </c>
      <c r="C7" s="39"/>
      <c r="D7" s="1">
        <v>2.8206000000000002</v>
      </c>
      <c r="E7" s="1">
        <v>3.0788000000000002</v>
      </c>
      <c r="F7" s="1">
        <v>4.8817000000000004</v>
      </c>
      <c r="G7" s="7">
        <f t="shared" si="0"/>
        <v>0.25819999999999999</v>
      </c>
      <c r="H7" s="1">
        <f t="shared" si="1"/>
        <v>1.8029000000000002</v>
      </c>
      <c r="I7" s="13">
        <f t="shared" si="2"/>
        <v>6.9825716498838117</v>
      </c>
      <c r="J7" s="14">
        <f t="shared" si="3"/>
        <v>0.92973206894523919</v>
      </c>
    </row>
    <row r="8" spans="1:10" x14ac:dyDescent="0.2">
      <c r="A8" s="15">
        <f t="shared" si="4"/>
        <v>6</v>
      </c>
      <c r="B8" s="16">
        <f>B7</f>
        <v>318939</v>
      </c>
      <c r="C8" s="40"/>
      <c r="D8" s="15">
        <v>2.7953999999999999</v>
      </c>
      <c r="E8" s="15">
        <v>3.0546000000000002</v>
      </c>
      <c r="F8" s="15">
        <v>4.5012999999999996</v>
      </c>
      <c r="G8" s="17">
        <f t="shared" si="0"/>
        <v>0.25920000000000032</v>
      </c>
      <c r="H8" s="15">
        <f t="shared" si="1"/>
        <v>1.4466999999999994</v>
      </c>
      <c r="I8" s="13">
        <f t="shared" si="2"/>
        <v>5.5814043209876454</v>
      </c>
      <c r="J8" s="14">
        <f t="shared" si="3"/>
        <v>0.74604436415945252</v>
      </c>
    </row>
    <row r="9" spans="1:10" x14ac:dyDescent="0.2">
      <c r="A9" s="1">
        <f t="shared" si="4"/>
        <v>7</v>
      </c>
      <c r="B9" s="4" t="s">
        <v>11</v>
      </c>
      <c r="C9" s="39" t="s">
        <v>12</v>
      </c>
      <c r="D9" s="1">
        <v>2.7742</v>
      </c>
      <c r="E9" s="1">
        <v>2.9529000000000001</v>
      </c>
      <c r="F9" s="1">
        <v>3.8908999999999998</v>
      </c>
      <c r="G9" s="6">
        <f t="shared" si="0"/>
        <v>0.17870000000000008</v>
      </c>
      <c r="H9" s="18">
        <f t="shared" si="1"/>
        <v>0.93799999999999972</v>
      </c>
      <c r="I9" s="13">
        <f t="shared" si="2"/>
        <v>5.2490207050923292</v>
      </c>
      <c r="J9" s="14">
        <f t="shared" si="3"/>
        <v>0.48371439384915088</v>
      </c>
    </row>
    <row r="10" spans="1:10" x14ac:dyDescent="0.2">
      <c r="A10" s="1">
        <f t="shared" si="4"/>
        <v>8</v>
      </c>
      <c r="B10" s="4" t="s">
        <v>11</v>
      </c>
      <c r="C10" s="39"/>
      <c r="D10" s="1">
        <v>2.8163999999999998</v>
      </c>
      <c r="E10" s="1">
        <v>2.944</v>
      </c>
      <c r="F10" s="1">
        <v>3.8614999999999999</v>
      </c>
      <c r="G10" s="6">
        <f t="shared" si="0"/>
        <v>0.12760000000000016</v>
      </c>
      <c r="H10" s="18">
        <f t="shared" si="1"/>
        <v>0.91749999999999998</v>
      </c>
      <c r="I10" s="13">
        <f t="shared" si="2"/>
        <v>7.1904388714733454</v>
      </c>
      <c r="J10" s="14">
        <f t="shared" si="3"/>
        <v>0.47314281061470792</v>
      </c>
    </row>
    <row r="11" spans="1:10" x14ac:dyDescent="0.2">
      <c r="A11" s="15">
        <f t="shared" si="4"/>
        <v>9</v>
      </c>
      <c r="B11" s="10" t="s">
        <v>11</v>
      </c>
      <c r="C11" s="40"/>
      <c r="D11" s="15">
        <v>2.7887</v>
      </c>
      <c r="E11" s="15">
        <v>2.9565999999999999</v>
      </c>
      <c r="F11" s="15">
        <v>3.8689</v>
      </c>
      <c r="G11" s="17">
        <f t="shared" si="0"/>
        <v>0.16789999999999994</v>
      </c>
      <c r="H11" s="15">
        <f t="shared" si="1"/>
        <v>0.91230000000000011</v>
      </c>
      <c r="I11" s="13">
        <f t="shared" si="2"/>
        <v>5.4335914234663516</v>
      </c>
      <c r="J11" s="14">
        <f t="shared" si="3"/>
        <v>0.47046123828206882</v>
      </c>
    </row>
    <row r="12" spans="1:10" x14ac:dyDescent="0.2">
      <c r="A12" s="1">
        <f t="shared" si="4"/>
        <v>10</v>
      </c>
      <c r="B12" s="4" t="s">
        <v>13</v>
      </c>
      <c r="C12" s="39" t="s">
        <v>69</v>
      </c>
      <c r="D12" s="1">
        <v>2.7633000000000001</v>
      </c>
      <c r="E12" s="1">
        <v>2.9971999999999999</v>
      </c>
      <c r="F12" s="1">
        <v>3.9161999999999999</v>
      </c>
      <c r="G12" s="6">
        <f t="shared" si="0"/>
        <v>0.23389999999999977</v>
      </c>
      <c r="H12" s="18">
        <f t="shared" si="1"/>
        <v>0.91900000000000004</v>
      </c>
      <c r="I12" s="13">
        <f t="shared" si="2"/>
        <v>3.9290294997862372</v>
      </c>
      <c r="J12" s="14">
        <f t="shared" si="3"/>
        <v>0.47391634109527697</v>
      </c>
    </row>
    <row r="13" spans="1:10" x14ac:dyDescent="0.2">
      <c r="A13" s="1">
        <f t="shared" si="4"/>
        <v>11</v>
      </c>
      <c r="B13" s="4" t="s">
        <v>13</v>
      </c>
      <c r="C13" s="39"/>
      <c r="D13" s="1">
        <v>2.7086000000000001</v>
      </c>
      <c r="E13" s="1">
        <v>2.9824000000000002</v>
      </c>
      <c r="F13" s="1">
        <v>3.8914</v>
      </c>
      <c r="G13" s="6">
        <f t="shared" si="0"/>
        <v>0.27380000000000004</v>
      </c>
      <c r="H13" s="18">
        <f t="shared" si="1"/>
        <v>0.90899999999999981</v>
      </c>
      <c r="I13" s="13">
        <f t="shared" si="2"/>
        <v>3.319941563184805</v>
      </c>
      <c r="J13" s="14">
        <f t="shared" si="3"/>
        <v>0.46875947122481681</v>
      </c>
    </row>
    <row r="14" spans="1:10" x14ac:dyDescent="0.2">
      <c r="A14" s="15">
        <f t="shared" si="4"/>
        <v>12</v>
      </c>
      <c r="B14" s="10" t="s">
        <v>13</v>
      </c>
      <c r="C14" s="40"/>
      <c r="D14" s="15">
        <v>2.7629000000000001</v>
      </c>
      <c r="E14" s="15">
        <v>3.0897999999999999</v>
      </c>
      <c r="F14" s="15">
        <v>4.4603000000000002</v>
      </c>
      <c r="G14" s="17">
        <f t="shared" si="0"/>
        <v>0.32689999999999975</v>
      </c>
      <c r="H14" s="15">
        <f t="shared" si="1"/>
        <v>1.3705000000000003</v>
      </c>
      <c r="I14" s="13">
        <f t="shared" si="2"/>
        <v>4.192413582135214</v>
      </c>
      <c r="J14" s="14">
        <f t="shared" si="3"/>
        <v>0.70674901574654747</v>
      </c>
    </row>
    <row r="15" spans="1:10" x14ac:dyDescent="0.2">
      <c r="A15" s="1">
        <f t="shared" si="4"/>
        <v>13</v>
      </c>
      <c r="B15" s="4" t="s">
        <v>14</v>
      </c>
      <c r="C15" s="39" t="s">
        <v>15</v>
      </c>
      <c r="D15" s="1">
        <v>2.7248000000000001</v>
      </c>
      <c r="E15" s="1">
        <v>3.1158000000000001</v>
      </c>
      <c r="F15" s="1">
        <v>4.2346000000000004</v>
      </c>
      <c r="G15" s="6">
        <f t="shared" si="0"/>
        <v>0.39100000000000001</v>
      </c>
      <c r="H15" s="18">
        <f t="shared" si="1"/>
        <v>1.1188000000000002</v>
      </c>
      <c r="I15" s="13">
        <f t="shared" si="2"/>
        <v>2.8613810741687984</v>
      </c>
      <c r="J15" s="14">
        <f t="shared" si="3"/>
        <v>0.57695060110706853</v>
      </c>
    </row>
    <row r="16" spans="1:10" x14ac:dyDescent="0.2">
      <c r="A16" s="1">
        <f t="shared" si="4"/>
        <v>14</v>
      </c>
      <c r="B16" s="4" t="s">
        <v>14</v>
      </c>
      <c r="C16" s="39"/>
      <c r="D16" s="1">
        <v>2.7625000000000002</v>
      </c>
      <c r="E16" s="1">
        <v>3.1490999999999998</v>
      </c>
      <c r="F16" s="1">
        <v>4.3067000000000002</v>
      </c>
      <c r="G16" s="6">
        <f t="shared" si="0"/>
        <v>0.38659999999999961</v>
      </c>
      <c r="H16" s="18">
        <f t="shared" si="1"/>
        <v>1.1576000000000004</v>
      </c>
      <c r="I16" s="13">
        <f t="shared" si="2"/>
        <v>2.994309363683398</v>
      </c>
      <c r="J16" s="14">
        <f t="shared" si="3"/>
        <v>0.59695925620445345</v>
      </c>
    </row>
    <row r="17" spans="1:10" x14ac:dyDescent="0.2">
      <c r="A17" s="15">
        <f t="shared" si="4"/>
        <v>15</v>
      </c>
      <c r="B17" s="10" t="s">
        <v>14</v>
      </c>
      <c r="C17" s="40"/>
      <c r="D17" s="15">
        <v>2.6966000000000001</v>
      </c>
      <c r="E17" s="15">
        <v>3.0916000000000001</v>
      </c>
      <c r="F17" s="15">
        <v>4.2165999999999997</v>
      </c>
      <c r="G17" s="17">
        <f t="shared" si="0"/>
        <v>0.39500000000000002</v>
      </c>
      <c r="H17" s="15">
        <f t="shared" si="1"/>
        <v>1.1249999999999996</v>
      </c>
      <c r="I17" s="13">
        <f t="shared" si="2"/>
        <v>2.8481012658227836</v>
      </c>
      <c r="J17" s="14">
        <f t="shared" si="3"/>
        <v>0.58014786042675348</v>
      </c>
    </row>
    <row r="18" spans="1:10" ht="15" customHeight="1" x14ac:dyDescent="0.2">
      <c r="A18" s="1">
        <f t="shared" si="4"/>
        <v>16</v>
      </c>
      <c r="B18" s="4" t="s">
        <v>16</v>
      </c>
      <c r="C18" s="39" t="s">
        <v>12</v>
      </c>
      <c r="D18" s="1">
        <v>2.7581000000000002</v>
      </c>
      <c r="E18" s="1">
        <v>3.1663000000000001</v>
      </c>
      <c r="F18" s="1">
        <v>4.5551000000000004</v>
      </c>
      <c r="G18" s="6">
        <f t="shared" si="0"/>
        <v>0.4081999999999999</v>
      </c>
      <c r="H18" s="18">
        <f t="shared" si="1"/>
        <v>1.3888000000000003</v>
      </c>
      <c r="I18" s="13">
        <f t="shared" si="2"/>
        <v>3.4022537971582572</v>
      </c>
      <c r="J18" s="14">
        <f t="shared" si="3"/>
        <v>0.71618608760948943</v>
      </c>
    </row>
    <row r="19" spans="1:10" x14ac:dyDescent="0.2">
      <c r="A19" s="1">
        <f t="shared" si="4"/>
        <v>17</v>
      </c>
      <c r="B19" s="12" t="s">
        <v>16</v>
      </c>
      <c r="C19" s="39"/>
      <c r="D19" s="1">
        <v>2.6983999999999999</v>
      </c>
      <c r="E19" s="1">
        <v>2.9952000000000001</v>
      </c>
      <c r="F19" s="1">
        <v>4.1115000000000004</v>
      </c>
      <c r="G19" s="6">
        <f t="shared" si="0"/>
        <v>0.29680000000000017</v>
      </c>
      <c r="H19" s="18">
        <f t="shared" si="1"/>
        <v>1.1163000000000003</v>
      </c>
      <c r="I19" s="13">
        <f t="shared" si="2"/>
        <v>3.761118598382748</v>
      </c>
      <c r="J19" s="14">
        <f t="shared" si="3"/>
        <v>0.57566138363945352</v>
      </c>
    </row>
    <row r="20" spans="1:10" x14ac:dyDescent="0.2">
      <c r="A20" s="15">
        <f t="shared" si="4"/>
        <v>18</v>
      </c>
      <c r="B20" s="16" t="s">
        <v>16</v>
      </c>
      <c r="C20" s="40"/>
      <c r="D20" s="15">
        <v>2.7877000000000001</v>
      </c>
      <c r="E20" s="15">
        <v>3.1528</v>
      </c>
      <c r="F20" s="15">
        <v>4.2461000000000002</v>
      </c>
      <c r="G20" s="17">
        <f t="shared" si="0"/>
        <v>0.36509999999999998</v>
      </c>
      <c r="H20" s="15">
        <f t="shared" si="1"/>
        <v>1.0933000000000002</v>
      </c>
      <c r="I20" s="13">
        <f t="shared" si="2"/>
        <v>2.9945220487537667</v>
      </c>
      <c r="J20" s="14">
        <f t="shared" si="3"/>
        <v>0.56380058293739532</v>
      </c>
    </row>
    <row r="21" spans="1:10" x14ac:dyDescent="0.2">
      <c r="A21" s="1">
        <f t="shared" si="4"/>
        <v>19</v>
      </c>
      <c r="B21" s="4" t="s">
        <v>17</v>
      </c>
      <c r="C21" s="39" t="s">
        <v>18</v>
      </c>
      <c r="D21" s="1">
        <v>2.7860999999999998</v>
      </c>
      <c r="E21" s="1">
        <v>3.0937999999999999</v>
      </c>
      <c r="F21" s="1">
        <v>4.5015999999999998</v>
      </c>
      <c r="G21" s="6">
        <f t="shared" si="0"/>
        <v>0.30770000000000008</v>
      </c>
      <c r="H21" s="18">
        <f t="shared" si="1"/>
        <v>1.4077999999999999</v>
      </c>
      <c r="I21" s="13">
        <f t="shared" si="2"/>
        <v>4.5752356191095211</v>
      </c>
      <c r="J21" s="14">
        <f t="shared" si="3"/>
        <v>0.72598414036336323</v>
      </c>
    </row>
    <row r="22" spans="1:10" x14ac:dyDescent="0.2">
      <c r="A22" s="1">
        <f t="shared" si="4"/>
        <v>20</v>
      </c>
      <c r="B22" s="12" t="s">
        <v>17</v>
      </c>
      <c r="C22" s="39"/>
      <c r="D22" s="1">
        <v>2.8062999999999998</v>
      </c>
      <c r="E22" s="1">
        <v>3.2046000000000001</v>
      </c>
      <c r="F22" s="1">
        <v>4.4333</v>
      </c>
      <c r="G22" s="6">
        <f t="shared" si="0"/>
        <v>0.39830000000000032</v>
      </c>
      <c r="H22" s="18">
        <f t="shared" si="1"/>
        <v>1.2286999999999999</v>
      </c>
      <c r="I22" s="13">
        <f t="shared" si="2"/>
        <v>3.0848606577956286</v>
      </c>
      <c r="J22" s="14">
        <f t="shared" si="3"/>
        <v>0.6336246009834241</v>
      </c>
    </row>
    <row r="23" spans="1:10" x14ac:dyDescent="0.2">
      <c r="A23" s="15">
        <f t="shared" si="4"/>
        <v>21</v>
      </c>
      <c r="B23" s="16" t="s">
        <v>17</v>
      </c>
      <c r="C23" s="40"/>
      <c r="D23" s="15">
        <v>2.7158000000000002</v>
      </c>
      <c r="E23" s="15">
        <v>3.2612999999999999</v>
      </c>
      <c r="F23" s="15">
        <v>4.3654999999999999</v>
      </c>
      <c r="G23" s="17">
        <f t="shared" si="0"/>
        <v>0.54549999999999965</v>
      </c>
      <c r="H23" s="15">
        <f t="shared" si="1"/>
        <v>1.1042000000000001</v>
      </c>
      <c r="I23" s="13">
        <f t="shared" si="2"/>
        <v>2.0241979835013764</v>
      </c>
      <c r="J23" s="14">
        <f t="shared" si="3"/>
        <v>0.56942157109619673</v>
      </c>
    </row>
    <row r="24" spans="1:10" x14ac:dyDescent="0.2">
      <c r="A24" s="1">
        <f t="shared" si="4"/>
        <v>22</v>
      </c>
      <c r="B24" s="4" t="s">
        <v>19</v>
      </c>
      <c r="C24" s="39" t="s">
        <v>10</v>
      </c>
      <c r="D24" s="1">
        <v>2.7199</v>
      </c>
      <c r="E24" s="1">
        <v>3.1215000000000002</v>
      </c>
      <c r="F24" s="1">
        <v>4.0967000000000002</v>
      </c>
      <c r="G24" s="6">
        <f t="shared" si="0"/>
        <v>0.40160000000000018</v>
      </c>
      <c r="H24" s="18">
        <f t="shared" si="1"/>
        <v>0.97520000000000007</v>
      </c>
      <c r="I24" s="13">
        <f t="shared" si="2"/>
        <v>2.4282868525896406</v>
      </c>
      <c r="J24" s="14">
        <f t="shared" si="3"/>
        <v>0.50289794976726232</v>
      </c>
    </row>
    <row r="25" spans="1:10" x14ac:dyDescent="0.2">
      <c r="A25" s="1">
        <f t="shared" si="4"/>
        <v>23</v>
      </c>
      <c r="B25" s="12" t="s">
        <v>19</v>
      </c>
      <c r="C25" s="39"/>
      <c r="D25" s="19">
        <v>2.7002000000000002</v>
      </c>
      <c r="E25" s="19">
        <v>0</v>
      </c>
      <c r="F25" s="19">
        <v>4.2744999999999997</v>
      </c>
      <c r="G25" s="20"/>
      <c r="H25" s="21"/>
      <c r="I25" s="13"/>
      <c r="J25" s="14"/>
    </row>
    <row r="26" spans="1:10" x14ac:dyDescent="0.2">
      <c r="A26" s="15">
        <f t="shared" si="4"/>
        <v>24</v>
      </c>
      <c r="B26" s="16" t="s">
        <v>19</v>
      </c>
      <c r="C26" s="40"/>
      <c r="D26" s="15">
        <v>2.7105000000000001</v>
      </c>
      <c r="E26" s="15">
        <v>3.2073999999999998</v>
      </c>
      <c r="F26" s="15">
        <v>4.4137000000000004</v>
      </c>
      <c r="G26" s="17">
        <f t="shared" ref="G26:G67" si="5">E26-D26</f>
        <v>0.49689999999999968</v>
      </c>
      <c r="H26" s="15">
        <f t="shared" ref="H26:H67" si="6">F26-E26</f>
        <v>1.2063000000000006</v>
      </c>
      <c r="I26" s="13">
        <f t="shared" ref="I26:I67" si="7">H26/G26</f>
        <v>2.4276514389213149</v>
      </c>
      <c r="J26" s="14">
        <f t="shared" ref="J26:J67" si="8">(H26*$E$81)*1000</f>
        <v>0.62207321247359393</v>
      </c>
    </row>
    <row r="27" spans="1:10" x14ac:dyDescent="0.2">
      <c r="A27" s="1">
        <f t="shared" si="4"/>
        <v>25</v>
      </c>
      <c r="B27" s="4" t="s">
        <v>20</v>
      </c>
      <c r="C27" s="39" t="s">
        <v>75</v>
      </c>
      <c r="D27" s="1">
        <v>2.726</v>
      </c>
      <c r="E27" s="1">
        <v>3.1545000000000001</v>
      </c>
      <c r="F27" s="1">
        <v>4.5236000000000001</v>
      </c>
      <c r="G27" s="6">
        <f t="shared" si="5"/>
        <v>0.4285000000000001</v>
      </c>
      <c r="H27" s="18">
        <f t="shared" si="6"/>
        <v>1.3691</v>
      </c>
      <c r="I27" s="13">
        <f t="shared" si="7"/>
        <v>3.1950991831971987</v>
      </c>
      <c r="J27" s="14">
        <f t="shared" si="8"/>
        <v>0.70602705396468302</v>
      </c>
    </row>
    <row r="28" spans="1:10" x14ac:dyDescent="0.2">
      <c r="A28" s="15">
        <f t="shared" si="4"/>
        <v>26</v>
      </c>
      <c r="B28" s="16" t="s">
        <v>20</v>
      </c>
      <c r="C28" s="40"/>
      <c r="D28" s="15">
        <v>2.7671000000000001</v>
      </c>
      <c r="E28" s="15">
        <v>3.2315999999999998</v>
      </c>
      <c r="F28" s="15">
        <v>4.4766000000000004</v>
      </c>
      <c r="G28" s="17">
        <f t="shared" si="5"/>
        <v>0.46449999999999969</v>
      </c>
      <c r="H28" s="15">
        <f t="shared" si="6"/>
        <v>1.2450000000000006</v>
      </c>
      <c r="I28" s="13">
        <f t="shared" si="7"/>
        <v>2.6803013993541471</v>
      </c>
      <c r="J28" s="14">
        <f t="shared" si="8"/>
        <v>0.64203029887227425</v>
      </c>
    </row>
    <row r="29" spans="1:10" x14ac:dyDescent="0.2">
      <c r="A29" s="1">
        <f t="shared" si="4"/>
        <v>27</v>
      </c>
      <c r="B29" s="4" t="s">
        <v>21</v>
      </c>
      <c r="C29" s="39" t="s">
        <v>74</v>
      </c>
      <c r="D29" s="1">
        <v>2.7307000000000001</v>
      </c>
      <c r="E29" s="1">
        <v>3.1922000000000001</v>
      </c>
      <c r="F29" s="1">
        <v>4.4897999999999998</v>
      </c>
      <c r="G29" s="6">
        <f t="shared" si="5"/>
        <v>0.46150000000000002</v>
      </c>
      <c r="H29" s="18">
        <f t="shared" si="6"/>
        <v>1.2975999999999996</v>
      </c>
      <c r="I29" s="13">
        <f t="shared" si="7"/>
        <v>2.8117009750812558</v>
      </c>
      <c r="J29" s="14">
        <f t="shared" si="8"/>
        <v>0.66915543439089353</v>
      </c>
    </row>
    <row r="30" spans="1:10" x14ac:dyDescent="0.2">
      <c r="A30" s="15">
        <f t="shared" si="4"/>
        <v>28</v>
      </c>
      <c r="B30" s="10" t="s">
        <v>21</v>
      </c>
      <c r="C30" s="40"/>
      <c r="D30" s="15">
        <v>2.6815000000000002</v>
      </c>
      <c r="E30" s="15">
        <v>3.1755</v>
      </c>
      <c r="F30" s="15">
        <v>4.53</v>
      </c>
      <c r="G30" s="17">
        <f t="shared" si="5"/>
        <v>0.49399999999999977</v>
      </c>
      <c r="H30" s="15">
        <f t="shared" si="6"/>
        <v>1.3545000000000003</v>
      </c>
      <c r="I30" s="13">
        <f t="shared" si="7"/>
        <v>2.7419028340080991</v>
      </c>
      <c r="J30" s="14">
        <f t="shared" si="8"/>
        <v>0.69849802395381144</v>
      </c>
    </row>
    <row r="31" spans="1:10" x14ac:dyDescent="0.2">
      <c r="A31" s="1">
        <f t="shared" si="4"/>
        <v>29</v>
      </c>
      <c r="B31" s="4" t="s">
        <v>22</v>
      </c>
      <c r="C31" s="41" t="s">
        <v>23</v>
      </c>
      <c r="D31" s="1">
        <v>2.7027999999999999</v>
      </c>
      <c r="E31" s="1">
        <v>3.2425999999999999</v>
      </c>
      <c r="F31" s="1">
        <v>4.4650999999999996</v>
      </c>
      <c r="G31" s="6">
        <f t="shared" si="5"/>
        <v>0.53980000000000006</v>
      </c>
      <c r="H31" s="18">
        <f t="shared" si="6"/>
        <v>1.2224999999999997</v>
      </c>
      <c r="I31" s="13">
        <f t="shared" si="7"/>
        <v>2.2647276769173761</v>
      </c>
      <c r="J31" s="14">
        <f t="shared" si="8"/>
        <v>0.63042734166373882</v>
      </c>
    </row>
    <row r="32" spans="1:10" x14ac:dyDescent="0.2">
      <c r="A32" s="15">
        <f t="shared" si="4"/>
        <v>30</v>
      </c>
      <c r="B32" s="10" t="s">
        <v>22</v>
      </c>
      <c r="C32" s="42"/>
      <c r="D32" s="15">
        <v>2.6817000000000002</v>
      </c>
      <c r="E32" s="15">
        <v>3.1787000000000001</v>
      </c>
      <c r="F32" s="15">
        <v>4.3705999999999996</v>
      </c>
      <c r="G32" s="17">
        <f t="shared" si="5"/>
        <v>0.49699999999999989</v>
      </c>
      <c r="H32" s="15">
        <f t="shared" si="6"/>
        <v>1.1918999999999995</v>
      </c>
      <c r="I32" s="13">
        <f t="shared" si="7"/>
        <v>2.3981891348088529</v>
      </c>
      <c r="J32" s="14">
        <f t="shared" si="8"/>
        <v>0.61464731986013099</v>
      </c>
    </row>
    <row r="33" spans="1:10" x14ac:dyDescent="0.2">
      <c r="A33" s="1">
        <f t="shared" si="4"/>
        <v>31</v>
      </c>
      <c r="B33" s="12" t="s">
        <v>24</v>
      </c>
      <c r="C33" s="39" t="s">
        <v>25</v>
      </c>
      <c r="D33" s="22">
        <v>2.7284999999999999</v>
      </c>
      <c r="E33" s="1">
        <v>3.2038000000000002</v>
      </c>
      <c r="F33" s="1">
        <v>4.4486999999999997</v>
      </c>
      <c r="G33" s="6">
        <f t="shared" si="5"/>
        <v>0.47530000000000028</v>
      </c>
      <c r="H33" s="18">
        <f t="shared" si="6"/>
        <v>1.2448999999999995</v>
      </c>
      <c r="I33" s="13">
        <f t="shared" si="7"/>
        <v>2.6191878813380995</v>
      </c>
      <c r="J33" s="14">
        <f t="shared" si="8"/>
        <v>0.6419787301735691</v>
      </c>
    </row>
    <row r="34" spans="1:10" x14ac:dyDescent="0.2">
      <c r="A34" s="15">
        <f t="shared" si="4"/>
        <v>32</v>
      </c>
      <c r="B34" s="16" t="s">
        <v>24</v>
      </c>
      <c r="C34" s="40"/>
      <c r="D34" s="15">
        <v>2.7</v>
      </c>
      <c r="E34" s="15">
        <v>3.1720000000000002</v>
      </c>
      <c r="F34" s="15">
        <v>4.3139000000000003</v>
      </c>
      <c r="G34" s="17">
        <f t="shared" si="5"/>
        <v>0.47199999999999998</v>
      </c>
      <c r="H34" s="15">
        <f t="shared" si="6"/>
        <v>1.1419000000000001</v>
      </c>
      <c r="I34" s="13">
        <f t="shared" si="7"/>
        <v>2.4192796610169496</v>
      </c>
      <c r="J34" s="14">
        <f t="shared" si="8"/>
        <v>0.5888629705078311</v>
      </c>
    </row>
    <row r="35" spans="1:10" x14ac:dyDescent="0.2">
      <c r="A35" s="1">
        <f t="shared" si="4"/>
        <v>33</v>
      </c>
      <c r="B35" s="4" t="s">
        <v>26</v>
      </c>
      <c r="C35" s="39" t="s">
        <v>73</v>
      </c>
      <c r="D35" s="1">
        <v>2.7225000000000001</v>
      </c>
      <c r="E35" s="1">
        <v>3.1686999999999999</v>
      </c>
      <c r="F35" s="1">
        <v>4.4661999999999997</v>
      </c>
      <c r="G35" s="6">
        <f t="shared" si="5"/>
        <v>0.44619999999999971</v>
      </c>
      <c r="H35" s="18">
        <f t="shared" si="6"/>
        <v>1.2974999999999999</v>
      </c>
      <c r="I35" s="13">
        <f t="shared" si="7"/>
        <v>2.9078888390856132</v>
      </c>
      <c r="J35" s="14">
        <f t="shared" si="8"/>
        <v>0.66910386569218916</v>
      </c>
    </row>
    <row r="36" spans="1:10" x14ac:dyDescent="0.2">
      <c r="A36" s="15">
        <f t="shared" ref="A36:A67" si="9">A35+1</f>
        <v>34</v>
      </c>
      <c r="B36" s="10" t="s">
        <v>26</v>
      </c>
      <c r="C36" s="39"/>
      <c r="D36" s="15">
        <v>2.7077</v>
      </c>
      <c r="E36" s="15">
        <v>3.1789999999999998</v>
      </c>
      <c r="F36" s="15">
        <v>4.3387000000000002</v>
      </c>
      <c r="G36" s="17">
        <f t="shared" si="5"/>
        <v>0.47129999999999983</v>
      </c>
      <c r="H36" s="15">
        <f t="shared" si="6"/>
        <v>1.1597000000000004</v>
      </c>
      <c r="I36" s="13">
        <f t="shared" si="7"/>
        <v>2.4606407808190132</v>
      </c>
      <c r="J36" s="14">
        <f t="shared" si="8"/>
        <v>0.59804219887725008</v>
      </c>
    </row>
    <row r="37" spans="1:10" x14ac:dyDescent="0.2">
      <c r="A37" s="1">
        <f t="shared" si="9"/>
        <v>35</v>
      </c>
      <c r="B37" s="4" t="s">
        <v>27</v>
      </c>
      <c r="C37" s="39"/>
      <c r="D37" s="1">
        <v>2.7465000000000002</v>
      </c>
      <c r="E37" s="1">
        <v>3.2109999999999999</v>
      </c>
      <c r="F37" s="1">
        <v>4.6407999999999996</v>
      </c>
      <c r="G37" s="6">
        <f t="shared" si="5"/>
        <v>0.46449999999999969</v>
      </c>
      <c r="H37" s="18">
        <f t="shared" si="6"/>
        <v>1.4297999999999997</v>
      </c>
      <c r="I37" s="13">
        <f t="shared" si="7"/>
        <v>3.078148546824544</v>
      </c>
      <c r="J37" s="14">
        <f t="shared" si="8"/>
        <v>0.73732925407837524</v>
      </c>
    </row>
    <row r="38" spans="1:10" x14ac:dyDescent="0.2">
      <c r="A38" s="15">
        <f t="shared" si="9"/>
        <v>36</v>
      </c>
      <c r="B38" s="10" t="s">
        <v>27</v>
      </c>
      <c r="C38" s="40"/>
      <c r="D38" s="15">
        <v>2.7562000000000002</v>
      </c>
      <c r="E38" s="15">
        <v>3.1785000000000001</v>
      </c>
      <c r="F38" s="15">
        <v>4.5606</v>
      </c>
      <c r="G38" s="17">
        <f t="shared" si="5"/>
        <v>0.4222999999999999</v>
      </c>
      <c r="H38" s="15">
        <f t="shared" si="6"/>
        <v>1.3820999999999999</v>
      </c>
      <c r="I38" s="13">
        <f t="shared" si="7"/>
        <v>3.2727918541321341</v>
      </c>
      <c r="J38" s="14">
        <f t="shared" si="8"/>
        <v>0.71273098479628094</v>
      </c>
    </row>
    <row r="39" spans="1:10" x14ac:dyDescent="0.2">
      <c r="A39" s="1">
        <f t="shared" si="9"/>
        <v>37</v>
      </c>
      <c r="B39" s="4" t="s">
        <v>28</v>
      </c>
      <c r="C39" s="39" t="s">
        <v>71</v>
      </c>
      <c r="D39" s="1">
        <v>2.7722000000000002</v>
      </c>
      <c r="E39" s="1">
        <v>3.1789000000000001</v>
      </c>
      <c r="F39" s="1">
        <v>4.4968000000000004</v>
      </c>
      <c r="G39" s="6">
        <f t="shared" si="5"/>
        <v>0.40669999999999984</v>
      </c>
      <c r="H39" s="18">
        <f t="shared" si="6"/>
        <v>1.3179000000000003</v>
      </c>
      <c r="I39" s="13">
        <f t="shared" si="7"/>
        <v>3.2404720924514403</v>
      </c>
      <c r="J39" s="14">
        <f t="shared" si="8"/>
        <v>0.67962388022792775</v>
      </c>
    </row>
    <row r="40" spans="1:10" x14ac:dyDescent="0.2">
      <c r="A40" s="15">
        <f t="shared" si="9"/>
        <v>38</v>
      </c>
      <c r="B40" s="10" t="s">
        <v>28</v>
      </c>
      <c r="C40" s="40"/>
      <c r="D40" s="15">
        <v>2.7715000000000001</v>
      </c>
      <c r="E40" s="15">
        <v>3.1459999999999999</v>
      </c>
      <c r="F40" s="15">
        <v>4.4672999999999998</v>
      </c>
      <c r="G40" s="17">
        <f t="shared" si="5"/>
        <v>0.37449999999999983</v>
      </c>
      <c r="H40" s="15">
        <f t="shared" si="6"/>
        <v>1.3212999999999999</v>
      </c>
      <c r="I40" s="13">
        <f t="shared" si="7"/>
        <v>3.5281708945260362</v>
      </c>
      <c r="J40" s="14">
        <f t="shared" si="8"/>
        <v>0.68137721598388401</v>
      </c>
    </row>
    <row r="41" spans="1:10" x14ac:dyDescent="0.2">
      <c r="A41" s="1">
        <f t="shared" si="9"/>
        <v>39</v>
      </c>
      <c r="B41" s="4" t="s">
        <v>29</v>
      </c>
      <c r="C41" s="39" t="s">
        <v>72</v>
      </c>
      <c r="D41" s="1">
        <v>2.7275</v>
      </c>
      <c r="E41" s="1">
        <v>3.1229</v>
      </c>
      <c r="F41" s="1">
        <v>4.6337999999999999</v>
      </c>
      <c r="G41" s="6">
        <f t="shared" si="5"/>
        <v>0.39539999999999997</v>
      </c>
      <c r="H41" s="18">
        <f t="shared" si="6"/>
        <v>1.5108999999999999</v>
      </c>
      <c r="I41" s="13">
        <f t="shared" si="7"/>
        <v>3.821193727870511</v>
      </c>
      <c r="J41" s="14">
        <f t="shared" si="8"/>
        <v>0.77915146872780616</v>
      </c>
    </row>
    <row r="42" spans="1:10" x14ac:dyDescent="0.2">
      <c r="A42" s="15">
        <f t="shared" si="9"/>
        <v>40</v>
      </c>
      <c r="B42" s="10" t="s">
        <v>29</v>
      </c>
      <c r="C42" s="40"/>
      <c r="D42" s="15">
        <v>2.6915</v>
      </c>
      <c r="E42" s="15">
        <v>3.1141000000000001</v>
      </c>
      <c r="F42" s="15">
        <v>4.4234999999999998</v>
      </c>
      <c r="G42" s="17">
        <f t="shared" si="5"/>
        <v>0.42260000000000009</v>
      </c>
      <c r="H42" s="15">
        <f t="shared" si="6"/>
        <v>1.3093999999999997</v>
      </c>
      <c r="I42" s="13">
        <f t="shared" si="7"/>
        <v>3.0984382394699463</v>
      </c>
      <c r="J42" s="14">
        <f t="shared" si="8"/>
        <v>0.67524054083803653</v>
      </c>
    </row>
    <row r="43" spans="1:10" x14ac:dyDescent="0.2">
      <c r="A43" s="1">
        <f t="shared" si="9"/>
        <v>41</v>
      </c>
      <c r="B43" s="4" t="s">
        <v>30</v>
      </c>
      <c r="C43" s="39" t="s">
        <v>31</v>
      </c>
      <c r="D43" s="1">
        <v>2.7317</v>
      </c>
      <c r="E43" s="1">
        <v>3.2132999999999998</v>
      </c>
      <c r="F43" s="1">
        <v>4.6407999999999996</v>
      </c>
      <c r="G43" s="6">
        <f t="shared" si="5"/>
        <v>0.48159999999999981</v>
      </c>
      <c r="H43" s="18">
        <f t="shared" si="6"/>
        <v>1.4274999999999998</v>
      </c>
      <c r="I43" s="13">
        <f t="shared" si="7"/>
        <v>2.9640780730897016</v>
      </c>
      <c r="J43" s="14">
        <f t="shared" si="8"/>
        <v>0.73614317400816953</v>
      </c>
    </row>
    <row r="44" spans="1:10" x14ac:dyDescent="0.2">
      <c r="A44" s="15">
        <f t="shared" si="9"/>
        <v>42</v>
      </c>
      <c r="B44" s="10" t="s">
        <v>30</v>
      </c>
      <c r="C44" s="39"/>
      <c r="D44" s="15">
        <v>2.7589000000000001</v>
      </c>
      <c r="E44" s="15">
        <v>3.26</v>
      </c>
      <c r="F44" s="15">
        <v>4.8754999999999997</v>
      </c>
      <c r="G44" s="17">
        <f t="shared" si="5"/>
        <v>0.50109999999999966</v>
      </c>
      <c r="H44" s="15">
        <f t="shared" si="6"/>
        <v>1.6154999999999999</v>
      </c>
      <c r="I44" s="13">
        <f t="shared" si="7"/>
        <v>3.223907403711836</v>
      </c>
      <c r="J44" s="14">
        <f t="shared" si="8"/>
        <v>0.83309232757281815</v>
      </c>
    </row>
    <row r="45" spans="1:10" x14ac:dyDescent="0.2">
      <c r="A45" s="1">
        <f t="shared" si="9"/>
        <v>43</v>
      </c>
      <c r="B45" s="4" t="s">
        <v>32</v>
      </c>
      <c r="C45" s="39"/>
      <c r="D45" s="1">
        <v>2.7833999999999999</v>
      </c>
      <c r="E45" s="1">
        <v>3.2130000000000001</v>
      </c>
      <c r="F45" s="1">
        <v>4.3724999999999996</v>
      </c>
      <c r="G45" s="6">
        <f t="shared" si="5"/>
        <v>0.4296000000000002</v>
      </c>
      <c r="H45" s="18">
        <f t="shared" si="6"/>
        <v>1.1594999999999995</v>
      </c>
      <c r="I45" s="13">
        <f t="shared" si="7"/>
        <v>2.6990223463687126</v>
      </c>
      <c r="J45" s="14">
        <f t="shared" si="8"/>
        <v>0.59793906147984044</v>
      </c>
    </row>
    <row r="46" spans="1:10" x14ac:dyDescent="0.2">
      <c r="A46" s="1">
        <f t="shared" si="9"/>
        <v>44</v>
      </c>
      <c r="B46" s="12" t="s">
        <v>32</v>
      </c>
      <c r="C46" s="39"/>
      <c r="D46" s="1">
        <v>2.6806999999999999</v>
      </c>
      <c r="E46" s="1">
        <v>3.0670999999999999</v>
      </c>
      <c r="F46" s="1">
        <v>4.1275000000000004</v>
      </c>
      <c r="G46" s="6">
        <f t="shared" si="5"/>
        <v>0.38640000000000008</v>
      </c>
      <c r="H46" s="18">
        <f t="shared" si="6"/>
        <v>1.0604000000000005</v>
      </c>
      <c r="I46" s="13">
        <f t="shared" si="7"/>
        <v>2.7443064182194625</v>
      </c>
      <c r="J46" s="14">
        <f t="shared" si="8"/>
        <v>0.54683448106358201</v>
      </c>
    </row>
    <row r="47" spans="1:10" x14ac:dyDescent="0.2">
      <c r="A47" s="1">
        <f t="shared" si="9"/>
        <v>45</v>
      </c>
      <c r="B47" s="4" t="s">
        <v>33</v>
      </c>
      <c r="C47" s="39"/>
      <c r="D47" s="1">
        <v>2.7201</v>
      </c>
      <c r="E47" s="1">
        <v>3.1855000000000002</v>
      </c>
      <c r="F47" s="1">
        <v>4.2569999999999997</v>
      </c>
      <c r="G47" s="6">
        <f t="shared" si="5"/>
        <v>0.46540000000000026</v>
      </c>
      <c r="H47" s="18">
        <f t="shared" si="6"/>
        <v>1.0714999999999995</v>
      </c>
      <c r="I47" s="13">
        <f t="shared" si="7"/>
        <v>2.3023205844434869</v>
      </c>
      <c r="J47" s="14">
        <f t="shared" si="8"/>
        <v>0.55255860661979217</v>
      </c>
    </row>
    <row r="48" spans="1:10" x14ac:dyDescent="0.2">
      <c r="A48" s="1">
        <f t="shared" si="9"/>
        <v>46</v>
      </c>
      <c r="B48" s="12" t="s">
        <v>33</v>
      </c>
      <c r="C48" s="39"/>
      <c r="D48" s="1">
        <v>2.7681</v>
      </c>
      <c r="E48" s="1">
        <v>3.1741999999999999</v>
      </c>
      <c r="F48" s="1">
        <v>4.2900999999999998</v>
      </c>
      <c r="G48" s="6">
        <f t="shared" si="5"/>
        <v>0.40609999999999991</v>
      </c>
      <c r="H48" s="18">
        <f t="shared" si="6"/>
        <v>1.1158999999999999</v>
      </c>
      <c r="I48" s="13">
        <f t="shared" si="7"/>
        <v>2.7478453582861366</v>
      </c>
      <c r="J48" s="14">
        <f t="shared" si="8"/>
        <v>0.57545510884463491</v>
      </c>
    </row>
    <row r="49" spans="1:10" x14ac:dyDescent="0.2">
      <c r="A49" s="1">
        <f t="shared" si="9"/>
        <v>47</v>
      </c>
      <c r="B49" s="4" t="s">
        <v>34</v>
      </c>
      <c r="C49" s="39"/>
      <c r="D49" s="1">
        <v>2.8056999999999999</v>
      </c>
      <c r="E49" s="1">
        <v>3.2065999999999999</v>
      </c>
      <c r="F49" s="1">
        <v>4.3882000000000003</v>
      </c>
      <c r="G49" s="6">
        <f t="shared" si="5"/>
        <v>0.40090000000000003</v>
      </c>
      <c r="H49" s="18">
        <f t="shared" si="6"/>
        <v>1.1816000000000004</v>
      </c>
      <c r="I49" s="13">
        <f t="shared" si="7"/>
        <v>2.9473684210526323</v>
      </c>
      <c r="J49" s="14">
        <f t="shared" si="8"/>
        <v>0.6093357438935576</v>
      </c>
    </row>
    <row r="50" spans="1:10" x14ac:dyDescent="0.2">
      <c r="A50" s="15">
        <f t="shared" si="9"/>
        <v>48</v>
      </c>
      <c r="B50" s="16" t="s">
        <v>34</v>
      </c>
      <c r="C50" s="39"/>
      <c r="D50" s="15">
        <v>2.7900999999999998</v>
      </c>
      <c r="E50" s="15">
        <v>3.3098999999999998</v>
      </c>
      <c r="F50" s="15">
        <v>4.5785</v>
      </c>
      <c r="G50" s="17">
        <f t="shared" si="5"/>
        <v>0.51980000000000004</v>
      </c>
      <c r="H50" s="15">
        <f t="shared" si="6"/>
        <v>1.2686000000000002</v>
      </c>
      <c r="I50" s="13">
        <f t="shared" si="7"/>
        <v>2.4405540592535591</v>
      </c>
      <c r="J50" s="14">
        <f t="shared" si="8"/>
        <v>0.6542005117665598</v>
      </c>
    </row>
    <row r="51" spans="1:10" x14ac:dyDescent="0.2">
      <c r="A51" s="1">
        <f t="shared" si="9"/>
        <v>49</v>
      </c>
      <c r="B51" s="4" t="s">
        <v>35</v>
      </c>
      <c r="C51" s="39"/>
      <c r="D51" s="1">
        <v>2.7947000000000002</v>
      </c>
      <c r="E51" s="1">
        <v>3.2677999999999998</v>
      </c>
      <c r="F51" s="1">
        <v>4.2797000000000001</v>
      </c>
      <c r="G51" s="6">
        <f t="shared" si="5"/>
        <v>0.47309999999999963</v>
      </c>
      <c r="H51" s="18">
        <f t="shared" si="6"/>
        <v>1.0119000000000002</v>
      </c>
      <c r="I51" s="13">
        <f t="shared" si="7"/>
        <v>2.1388712745719745</v>
      </c>
      <c r="J51" s="14">
        <f t="shared" si="8"/>
        <v>0.52182366219185072</v>
      </c>
    </row>
    <row r="52" spans="1:10" x14ac:dyDescent="0.2">
      <c r="A52" s="1">
        <f t="shared" si="9"/>
        <v>50</v>
      </c>
      <c r="B52" s="4" t="s">
        <v>35</v>
      </c>
      <c r="C52" s="39"/>
      <c r="D52" s="1">
        <v>2.8056000000000001</v>
      </c>
      <c r="E52" s="1">
        <v>3.2273999999999998</v>
      </c>
      <c r="F52" s="1">
        <v>4.2944000000000004</v>
      </c>
      <c r="G52" s="6">
        <f t="shared" si="5"/>
        <v>0.42179999999999973</v>
      </c>
      <c r="H52" s="18">
        <f t="shared" si="6"/>
        <v>1.0670000000000006</v>
      </c>
      <c r="I52" s="13">
        <f t="shared" si="7"/>
        <v>2.5296348980559538</v>
      </c>
      <c r="J52" s="14">
        <f t="shared" si="8"/>
        <v>0.55023801517808579</v>
      </c>
    </row>
    <row r="53" spans="1:10" x14ac:dyDescent="0.2">
      <c r="A53" s="1">
        <f t="shared" si="9"/>
        <v>51</v>
      </c>
      <c r="B53" s="4" t="s">
        <v>36</v>
      </c>
      <c r="C53" s="39"/>
      <c r="D53" s="1">
        <v>2.8125</v>
      </c>
      <c r="E53" s="1">
        <v>3.1795</v>
      </c>
      <c r="F53" s="1">
        <v>4.5359999999999996</v>
      </c>
      <c r="G53" s="6">
        <f t="shared" si="5"/>
        <v>0.36699999999999999</v>
      </c>
      <c r="H53" s="18">
        <f t="shared" si="6"/>
        <v>1.3564999999999996</v>
      </c>
      <c r="I53" s="13">
        <f t="shared" si="7"/>
        <v>3.6961852861035411</v>
      </c>
      <c r="J53" s="14">
        <f t="shared" si="8"/>
        <v>0.69952939792790314</v>
      </c>
    </row>
    <row r="54" spans="1:10" x14ac:dyDescent="0.2">
      <c r="A54" s="1">
        <f t="shared" si="9"/>
        <v>52</v>
      </c>
      <c r="B54" s="4" t="s">
        <v>36</v>
      </c>
      <c r="C54" s="39"/>
      <c r="D54" s="1">
        <v>2.7669999999999999</v>
      </c>
      <c r="E54" s="1">
        <v>3.1886999999999999</v>
      </c>
      <c r="F54" s="1">
        <v>4.4484000000000004</v>
      </c>
      <c r="G54" s="6">
        <f t="shared" si="5"/>
        <v>0.42169999999999996</v>
      </c>
      <c r="H54" s="18">
        <f t="shared" si="6"/>
        <v>1.2597000000000005</v>
      </c>
      <c r="I54" s="13">
        <f t="shared" si="7"/>
        <v>2.9871946881669449</v>
      </c>
      <c r="J54" s="14">
        <f t="shared" si="8"/>
        <v>0.64961089758185053</v>
      </c>
    </row>
    <row r="55" spans="1:10" x14ac:dyDescent="0.2">
      <c r="A55" s="1">
        <f t="shared" si="9"/>
        <v>53</v>
      </c>
      <c r="B55" s="4" t="s">
        <v>37</v>
      </c>
      <c r="C55" s="39"/>
      <c r="D55" s="1">
        <v>2.7450999999999999</v>
      </c>
      <c r="E55" s="1">
        <v>3.1682000000000001</v>
      </c>
      <c r="F55" s="1">
        <v>4.2838000000000003</v>
      </c>
      <c r="G55" s="6">
        <f t="shared" si="5"/>
        <v>0.42310000000000025</v>
      </c>
      <c r="H55" s="18">
        <f t="shared" si="6"/>
        <v>1.1156000000000001</v>
      </c>
      <c r="I55" s="13">
        <f t="shared" si="7"/>
        <v>2.6367289056960517</v>
      </c>
      <c r="J55" s="14">
        <f t="shared" si="8"/>
        <v>0.57530040274852123</v>
      </c>
    </row>
    <row r="56" spans="1:10" x14ac:dyDescent="0.2">
      <c r="A56" s="15">
        <f t="shared" si="9"/>
        <v>54</v>
      </c>
      <c r="B56" s="10" t="s">
        <v>37</v>
      </c>
      <c r="C56" s="40"/>
      <c r="D56" s="15">
        <v>2.8313999999999999</v>
      </c>
      <c r="E56" s="15">
        <v>3.3159000000000001</v>
      </c>
      <c r="F56" s="15">
        <v>4.6451000000000002</v>
      </c>
      <c r="G56" s="17">
        <f t="shared" si="5"/>
        <v>0.48450000000000015</v>
      </c>
      <c r="H56" s="15">
        <f t="shared" si="6"/>
        <v>1.3292000000000002</v>
      </c>
      <c r="I56" s="13">
        <f t="shared" si="7"/>
        <v>2.7434468524251803</v>
      </c>
      <c r="J56" s="14">
        <f t="shared" si="8"/>
        <v>0.68545114318154754</v>
      </c>
    </row>
    <row r="57" spans="1:10" x14ac:dyDescent="0.2">
      <c r="A57" s="1">
        <f t="shared" si="9"/>
        <v>55</v>
      </c>
      <c r="B57" s="4" t="s">
        <v>38</v>
      </c>
      <c r="C57" s="39" t="s">
        <v>39</v>
      </c>
      <c r="D57" s="1">
        <v>2.8092999999999999</v>
      </c>
      <c r="E57" s="1">
        <v>3.2641</v>
      </c>
      <c r="F57" s="1">
        <v>4.4192999999999998</v>
      </c>
      <c r="G57" s="6">
        <f t="shared" si="5"/>
        <v>0.45480000000000009</v>
      </c>
      <c r="H57" s="18">
        <f t="shared" si="6"/>
        <v>1.1551999999999998</v>
      </c>
      <c r="I57" s="13">
        <f t="shared" si="7"/>
        <v>2.5400175901495152</v>
      </c>
      <c r="J57" s="14">
        <f t="shared" si="8"/>
        <v>0.59572160743554281</v>
      </c>
    </row>
    <row r="58" spans="1:10" x14ac:dyDescent="0.2">
      <c r="A58" s="1">
        <f t="shared" si="9"/>
        <v>56</v>
      </c>
      <c r="B58" s="4" t="s">
        <v>40</v>
      </c>
      <c r="C58" s="39"/>
      <c r="D58" s="1">
        <v>2.7675999999999998</v>
      </c>
      <c r="E58" s="1">
        <v>3.1520000000000001</v>
      </c>
      <c r="F58" s="1">
        <v>4.4275000000000002</v>
      </c>
      <c r="G58" s="6">
        <f t="shared" si="5"/>
        <v>0.3844000000000003</v>
      </c>
      <c r="H58" s="18">
        <f t="shared" si="6"/>
        <v>1.2755000000000001</v>
      </c>
      <c r="I58" s="13">
        <f t="shared" si="7"/>
        <v>3.3181581685743993</v>
      </c>
      <c r="J58" s="14">
        <f t="shared" si="8"/>
        <v>0.65775875197717715</v>
      </c>
    </row>
    <row r="59" spans="1:10" x14ac:dyDescent="0.2">
      <c r="A59" s="15">
        <f t="shared" si="9"/>
        <v>57</v>
      </c>
      <c r="B59" s="10" t="s">
        <v>41</v>
      </c>
      <c r="C59" s="40"/>
      <c r="D59" s="15">
        <v>2.8262</v>
      </c>
      <c r="E59" s="15">
        <v>3.2450999999999999</v>
      </c>
      <c r="F59" s="15">
        <v>4.5860000000000003</v>
      </c>
      <c r="G59" s="17">
        <f t="shared" si="5"/>
        <v>0.41889999999999983</v>
      </c>
      <c r="H59" s="15">
        <f t="shared" si="6"/>
        <v>1.3409000000000004</v>
      </c>
      <c r="I59" s="13">
        <f t="shared" si="7"/>
        <v>3.2010026259250441</v>
      </c>
      <c r="J59" s="14">
        <f t="shared" si="8"/>
        <v>0.69148468092998594</v>
      </c>
    </row>
    <row r="60" spans="1:10" x14ac:dyDescent="0.2">
      <c r="A60" s="1">
        <f t="shared" si="9"/>
        <v>58</v>
      </c>
      <c r="B60" s="4" t="s">
        <v>42</v>
      </c>
      <c r="C60" s="39" t="s">
        <v>43</v>
      </c>
      <c r="D60" s="1">
        <v>2.7793000000000001</v>
      </c>
      <c r="E60" s="1">
        <v>3.0847000000000002</v>
      </c>
      <c r="F60" s="1">
        <v>4.6871</v>
      </c>
      <c r="G60" s="6">
        <f t="shared" si="5"/>
        <v>0.30540000000000012</v>
      </c>
      <c r="H60" s="18">
        <f t="shared" si="6"/>
        <v>1.6023999999999998</v>
      </c>
      <c r="I60" s="13">
        <f t="shared" si="7"/>
        <v>5.2468893254747844</v>
      </c>
      <c r="J60" s="14">
        <f t="shared" si="8"/>
        <v>0.8263368280425154</v>
      </c>
    </row>
    <row r="61" spans="1:10" x14ac:dyDescent="0.2">
      <c r="A61" s="1">
        <f t="shared" si="9"/>
        <v>59</v>
      </c>
      <c r="B61" s="4" t="s">
        <v>44</v>
      </c>
      <c r="C61" s="39"/>
      <c r="D61" s="1">
        <v>2.8174999999999999</v>
      </c>
      <c r="E61" s="1">
        <v>3.1688999999999998</v>
      </c>
      <c r="F61" s="1">
        <v>4.6432000000000002</v>
      </c>
      <c r="G61" s="6">
        <f t="shared" si="5"/>
        <v>0.35139999999999993</v>
      </c>
      <c r="H61" s="18">
        <f t="shared" si="6"/>
        <v>1.4743000000000004</v>
      </c>
      <c r="I61" s="13">
        <f t="shared" si="7"/>
        <v>4.195503699487765</v>
      </c>
      <c r="J61" s="14">
        <f t="shared" si="8"/>
        <v>0.76027732500192269</v>
      </c>
    </row>
    <row r="62" spans="1:10" x14ac:dyDescent="0.2">
      <c r="A62" s="15">
        <f t="shared" si="9"/>
        <v>60</v>
      </c>
      <c r="B62" s="10" t="s">
        <v>45</v>
      </c>
      <c r="C62" s="40"/>
      <c r="D62" s="15">
        <v>2.8037000000000001</v>
      </c>
      <c r="E62" s="15">
        <v>3.1023000000000001</v>
      </c>
      <c r="F62" s="15">
        <v>4.7480000000000002</v>
      </c>
      <c r="G62" s="17">
        <f t="shared" si="5"/>
        <v>0.29859999999999998</v>
      </c>
      <c r="H62" s="15">
        <f t="shared" si="6"/>
        <v>1.6457000000000002</v>
      </c>
      <c r="I62" s="13">
        <f t="shared" si="7"/>
        <v>5.5113864701942408</v>
      </c>
      <c r="J62" s="14">
        <f t="shared" si="8"/>
        <v>0.84866607458160759</v>
      </c>
    </row>
    <row r="63" spans="1:10" x14ac:dyDescent="0.2">
      <c r="A63" s="1">
        <f t="shared" si="9"/>
        <v>61</v>
      </c>
      <c r="B63" s="4" t="s">
        <v>46</v>
      </c>
      <c r="C63" s="39" t="s">
        <v>47</v>
      </c>
      <c r="D63" s="1">
        <v>2.7446999999999999</v>
      </c>
      <c r="E63" s="1">
        <v>3.1585999999999999</v>
      </c>
      <c r="F63" s="1">
        <v>4.3966000000000003</v>
      </c>
      <c r="G63" s="6">
        <f t="shared" si="5"/>
        <v>0.41389999999999993</v>
      </c>
      <c r="H63" s="18">
        <f t="shared" si="6"/>
        <v>1.2380000000000004</v>
      </c>
      <c r="I63" s="13">
        <f t="shared" si="7"/>
        <v>2.9910606426673123</v>
      </c>
      <c r="J63" s="14">
        <f t="shared" si="8"/>
        <v>0.6384204899629522</v>
      </c>
    </row>
    <row r="64" spans="1:10" x14ac:dyDescent="0.2">
      <c r="A64" s="15">
        <f t="shared" si="9"/>
        <v>62</v>
      </c>
      <c r="B64" s="10" t="s">
        <v>48</v>
      </c>
      <c r="C64" s="39"/>
      <c r="D64" s="15">
        <v>2.8325</v>
      </c>
      <c r="E64" s="15">
        <v>3.2454999999999998</v>
      </c>
      <c r="F64" s="15">
        <v>4.4238999999999997</v>
      </c>
      <c r="G64" s="17">
        <f t="shared" si="5"/>
        <v>0.41299999999999981</v>
      </c>
      <c r="H64" s="15">
        <f t="shared" si="6"/>
        <v>1.1783999999999999</v>
      </c>
      <c r="I64" s="23">
        <f t="shared" si="7"/>
        <v>2.8532687651331727</v>
      </c>
      <c r="J64" s="14">
        <f t="shared" si="8"/>
        <v>0.60768554553501009</v>
      </c>
    </row>
    <row r="65" spans="1:10" x14ac:dyDescent="0.2">
      <c r="A65" s="1">
        <f t="shared" si="9"/>
        <v>63</v>
      </c>
      <c r="B65" s="4" t="s">
        <v>49</v>
      </c>
      <c r="C65" s="39"/>
      <c r="D65" s="1">
        <v>2.8254000000000001</v>
      </c>
      <c r="E65" s="1">
        <v>3.2334000000000001</v>
      </c>
      <c r="F65" s="1">
        <v>4.3914</v>
      </c>
      <c r="G65" s="6">
        <f t="shared" si="5"/>
        <v>0.40799999999999992</v>
      </c>
      <c r="H65" s="18">
        <f t="shared" si="6"/>
        <v>1.1579999999999999</v>
      </c>
      <c r="I65" s="13">
        <f t="shared" si="7"/>
        <v>2.8382352941176476</v>
      </c>
      <c r="J65" s="14">
        <f t="shared" si="8"/>
        <v>0.59716553099927161</v>
      </c>
    </row>
    <row r="66" spans="1:10" x14ac:dyDescent="0.2">
      <c r="A66" s="15">
        <f t="shared" si="9"/>
        <v>64</v>
      </c>
      <c r="B66" s="10" t="s">
        <v>50</v>
      </c>
      <c r="C66" s="40"/>
      <c r="D66" s="15">
        <v>2.7454000000000001</v>
      </c>
      <c r="E66" s="15">
        <v>3.1052</v>
      </c>
      <c r="F66" s="15">
        <v>4.2178000000000004</v>
      </c>
      <c r="G66" s="17">
        <f t="shared" si="5"/>
        <v>0.3597999999999999</v>
      </c>
      <c r="H66" s="15">
        <f t="shared" si="6"/>
        <v>1.1126000000000005</v>
      </c>
      <c r="I66" s="23">
        <f t="shared" si="7"/>
        <v>3.0922734852695966</v>
      </c>
      <c r="J66" s="14">
        <f t="shared" si="8"/>
        <v>0.57375334178738346</v>
      </c>
    </row>
    <row r="67" spans="1:10" x14ac:dyDescent="0.2">
      <c r="A67" s="1">
        <f t="shared" si="9"/>
        <v>65</v>
      </c>
      <c r="B67" s="4" t="s">
        <v>51</v>
      </c>
      <c r="C67" s="39" t="s">
        <v>70</v>
      </c>
      <c r="D67" s="1">
        <v>2.7698</v>
      </c>
      <c r="E67" s="1">
        <v>3.2677999999999998</v>
      </c>
      <c r="F67" s="1">
        <v>4.5791000000000004</v>
      </c>
      <c r="G67" s="6">
        <f t="shared" si="5"/>
        <v>0.49799999999999978</v>
      </c>
      <c r="H67" s="18">
        <f t="shared" si="6"/>
        <v>1.3113000000000006</v>
      </c>
      <c r="I67" s="13">
        <f t="shared" si="7"/>
        <v>2.6331325301204842</v>
      </c>
      <c r="J67" s="14">
        <f t="shared" si="8"/>
        <v>0.6762203461134243</v>
      </c>
    </row>
    <row r="68" spans="1:10" x14ac:dyDescent="0.2">
      <c r="A68" s="24">
        <f t="shared" ref="A68:A74" si="10">A67+1</f>
        <v>66</v>
      </c>
      <c r="B68" s="25"/>
      <c r="C68" s="40"/>
      <c r="D68" s="24">
        <v>2.8098000000000001</v>
      </c>
      <c r="E68" s="24"/>
      <c r="F68" s="24"/>
      <c r="G68" s="26"/>
      <c r="H68" s="24">
        <f t="shared" ref="H68:H74" si="11">F68-E68</f>
        <v>0</v>
      </c>
      <c r="I68" s="27"/>
      <c r="J68" s="14"/>
    </row>
    <row r="69" spans="1:10" x14ac:dyDescent="0.2">
      <c r="A69" s="1">
        <f t="shared" si="10"/>
        <v>67</v>
      </c>
      <c r="B69" s="4" t="s">
        <v>52</v>
      </c>
      <c r="C69" s="39" t="s">
        <v>9</v>
      </c>
      <c r="D69" s="1">
        <v>2.7572999999999999</v>
      </c>
      <c r="E69" s="1">
        <v>3.2214</v>
      </c>
      <c r="F69" s="1">
        <v>4.4734999999999996</v>
      </c>
      <c r="G69" s="6">
        <f t="shared" ref="G69:G74" si="12">E69-D69</f>
        <v>0.46410000000000018</v>
      </c>
      <c r="H69" s="18">
        <f t="shared" si="11"/>
        <v>1.2520999999999995</v>
      </c>
      <c r="I69" s="13">
        <f t="shared" ref="I69:I74" si="13">H69/G69</f>
        <v>2.6979099332040488</v>
      </c>
      <c r="J69" s="14">
        <f t="shared" ref="J69:J74" si="14">(H69*$E$81)*1000</f>
        <v>0.64569167648030035</v>
      </c>
    </row>
    <row r="70" spans="1:10" x14ac:dyDescent="0.2">
      <c r="A70" s="15">
        <f t="shared" si="10"/>
        <v>68</v>
      </c>
      <c r="B70" s="10" t="s">
        <v>53</v>
      </c>
      <c r="C70" s="40"/>
      <c r="D70" s="15">
        <v>2.8239000000000001</v>
      </c>
      <c r="E70" s="15">
        <v>3.3536000000000001</v>
      </c>
      <c r="F70" s="15">
        <v>4.9531000000000001</v>
      </c>
      <c r="G70" s="17">
        <f t="shared" si="12"/>
        <v>0.52970000000000006</v>
      </c>
      <c r="H70" s="15">
        <f t="shared" si="11"/>
        <v>1.5994999999999999</v>
      </c>
      <c r="I70" s="23">
        <f t="shared" si="13"/>
        <v>3.0196337549556347</v>
      </c>
      <c r="J70" s="14">
        <f t="shared" si="14"/>
        <v>0.82484133578008212</v>
      </c>
    </row>
    <row r="71" spans="1:10" x14ac:dyDescent="0.2">
      <c r="A71" s="1">
        <f t="shared" si="10"/>
        <v>69</v>
      </c>
      <c r="B71" s="4" t="s">
        <v>54</v>
      </c>
      <c r="C71" s="39" t="s">
        <v>55</v>
      </c>
      <c r="D71" s="1">
        <v>2.8105000000000002</v>
      </c>
      <c r="E71" s="1">
        <v>3.3340999999999998</v>
      </c>
      <c r="F71" s="1">
        <v>4.6383999999999999</v>
      </c>
      <c r="G71" s="6">
        <f t="shared" si="12"/>
        <v>0.52359999999999962</v>
      </c>
      <c r="H71" s="18">
        <f t="shared" si="11"/>
        <v>1.3043</v>
      </c>
      <c r="I71" s="13">
        <f t="shared" si="13"/>
        <v>2.4910236822001548</v>
      </c>
      <c r="J71" s="14">
        <f t="shared" si="14"/>
        <v>0.67261053720410202</v>
      </c>
    </row>
    <row r="72" spans="1:10" x14ac:dyDescent="0.2">
      <c r="A72" s="15">
        <f t="shared" si="10"/>
        <v>70</v>
      </c>
      <c r="B72" s="10" t="s">
        <v>56</v>
      </c>
      <c r="C72" s="39"/>
      <c r="D72" s="15">
        <v>2.7732999999999999</v>
      </c>
      <c r="E72" s="15">
        <v>3.1804000000000001</v>
      </c>
      <c r="F72" s="15">
        <v>4.6523000000000003</v>
      </c>
      <c r="G72" s="17">
        <f t="shared" si="12"/>
        <v>0.40710000000000024</v>
      </c>
      <c r="H72" s="15">
        <f t="shared" si="11"/>
        <v>1.4719000000000002</v>
      </c>
      <c r="I72" s="23">
        <f t="shared" si="13"/>
        <v>3.6155735691476281</v>
      </c>
      <c r="J72" s="14">
        <f t="shared" si="14"/>
        <v>0.75903967623301227</v>
      </c>
    </row>
    <row r="73" spans="1:10" x14ac:dyDescent="0.2">
      <c r="A73" s="1">
        <f t="shared" si="10"/>
        <v>71</v>
      </c>
      <c r="B73" s="4" t="s">
        <v>57</v>
      </c>
      <c r="C73" s="39"/>
      <c r="D73" s="1">
        <v>2.84</v>
      </c>
      <c r="E73" s="1">
        <v>3.2324999999999999</v>
      </c>
      <c r="F73" s="1">
        <v>4.6532</v>
      </c>
      <c r="G73" s="6">
        <f t="shared" si="12"/>
        <v>0.39250000000000007</v>
      </c>
      <c r="H73" s="18">
        <f t="shared" si="11"/>
        <v>1.4207000000000001</v>
      </c>
      <c r="I73" s="13">
        <f t="shared" si="13"/>
        <v>3.6196178343949041</v>
      </c>
      <c r="J73" s="14">
        <f t="shared" si="14"/>
        <v>0.73263650249625678</v>
      </c>
    </row>
    <row r="74" spans="1:10" x14ac:dyDescent="0.2">
      <c r="A74" s="15">
        <f t="shared" si="10"/>
        <v>72</v>
      </c>
      <c r="B74" s="10" t="s">
        <v>58</v>
      </c>
      <c r="C74" s="40"/>
      <c r="D74" s="15">
        <v>2.7559999999999998</v>
      </c>
      <c r="E74" s="15">
        <v>3.1263999999999998</v>
      </c>
      <c r="F74" s="15">
        <v>4.4330999999999996</v>
      </c>
      <c r="G74" s="17">
        <f t="shared" si="12"/>
        <v>0.37040000000000006</v>
      </c>
      <c r="H74" s="15">
        <f t="shared" si="11"/>
        <v>1.3066999999999998</v>
      </c>
      <c r="I74" s="23">
        <f t="shared" si="13"/>
        <v>3.5278077753779686</v>
      </c>
      <c r="J74" s="14">
        <f t="shared" si="14"/>
        <v>0.67384818597301233</v>
      </c>
    </row>
    <row r="76" spans="1:10" x14ac:dyDescent="0.2">
      <c r="A76" s="34" t="s">
        <v>59</v>
      </c>
      <c r="B76" s="34"/>
      <c r="C76" s="43"/>
      <c r="D76" s="34"/>
      <c r="E76" s="1">
        <v>65.253500000000003</v>
      </c>
    </row>
    <row r="77" spans="1:10" x14ac:dyDescent="0.2">
      <c r="A77" s="34" t="s">
        <v>60</v>
      </c>
      <c r="B77" s="34"/>
      <c r="C77" s="43"/>
      <c r="D77" s="34"/>
      <c r="E77" s="1">
        <v>197.8921</v>
      </c>
    </row>
    <row r="78" spans="1:10" x14ac:dyDescent="0.2">
      <c r="A78" s="34" t="s">
        <v>61</v>
      </c>
      <c r="B78" s="34"/>
      <c r="C78" s="43"/>
      <c r="D78" s="34"/>
      <c r="E78" s="1">
        <v>6.8400000000000002E-2</v>
      </c>
    </row>
    <row r="79" spans="1:10" x14ac:dyDescent="0.2">
      <c r="A79" s="34" t="s">
        <v>62</v>
      </c>
      <c r="B79" s="34"/>
      <c r="C79" s="43"/>
      <c r="D79" s="34"/>
      <c r="E79" s="1">
        <f>E77-E76</f>
        <v>132.6386</v>
      </c>
    </row>
    <row r="80" spans="1:10" x14ac:dyDescent="0.2">
      <c r="A80" s="34" t="s">
        <v>63</v>
      </c>
      <c r="B80" s="34"/>
      <c r="C80" s="43"/>
      <c r="D80" s="34"/>
      <c r="E80" s="1">
        <f>E79/100</f>
        <v>1.3263860000000001</v>
      </c>
    </row>
    <row r="81" spans="1:8" x14ac:dyDescent="0.2">
      <c r="A81" s="34" t="s">
        <v>64</v>
      </c>
      <c r="B81" s="34"/>
      <c r="C81" s="43"/>
      <c r="D81" s="34"/>
      <c r="E81" s="28">
        <f>E78/E79</f>
        <v>5.1568698704600321E-4</v>
      </c>
      <c r="H81" s="7" t="s">
        <v>65</v>
      </c>
    </row>
    <row r="82" spans="1:8" x14ac:dyDescent="0.2">
      <c r="A82" s="34" t="s">
        <v>66</v>
      </c>
      <c r="B82" s="34"/>
      <c r="C82" s="43"/>
      <c r="D82" s="34"/>
      <c r="E82" s="29">
        <f>AVERAGE(D3:D74)</f>
        <v>2.7622069444444448</v>
      </c>
      <c r="F82" s="30" t="s">
        <v>67</v>
      </c>
      <c r="G82" s="31">
        <f>STDEV(D3:D74)</f>
        <v>4.3725157377820574E-2</v>
      </c>
      <c r="H82" s="32">
        <f>G82/E82</f>
        <v>1.5829790546926199E-2</v>
      </c>
    </row>
    <row r="83" spans="1:8" x14ac:dyDescent="0.2">
      <c r="A83" s="34" t="s">
        <v>68</v>
      </c>
      <c r="B83" s="34"/>
      <c r="C83" s="43"/>
      <c r="D83" s="34"/>
      <c r="E83" s="33">
        <f>AVERAGE(G3:G74)</f>
        <v>0.39021571428571428</v>
      </c>
      <c r="F83" s="30" t="s">
        <v>67</v>
      </c>
      <c r="G83" s="31">
        <f>STDEV(G3:G75)</f>
        <v>0.1022499546588812</v>
      </c>
      <c r="H83" s="32">
        <f>G83/E83</f>
        <v>0.26203443612220656</v>
      </c>
    </row>
    <row r="84" spans="1:8" x14ac:dyDescent="0.2">
      <c r="A84" s="34"/>
      <c r="B84" s="34"/>
      <c r="C84" s="43"/>
      <c r="D84" s="34"/>
      <c r="H84" s="32"/>
    </row>
    <row r="85" spans="1:8" x14ac:dyDescent="0.2">
      <c r="A85" s="34"/>
      <c r="B85" s="34"/>
      <c r="C85" s="43"/>
      <c r="D85" s="34"/>
    </row>
    <row r="86" spans="1:8" x14ac:dyDescent="0.2">
      <c r="A86" s="34"/>
      <c r="B86" s="34"/>
      <c r="C86" s="43"/>
      <c r="D86" s="34"/>
    </row>
    <row r="87" spans="1:8" x14ac:dyDescent="0.2">
      <c r="A87" s="34"/>
      <c r="B87" s="34"/>
      <c r="C87" s="43"/>
      <c r="D87" s="34"/>
    </row>
  </sheetData>
  <mergeCells count="38">
    <mergeCell ref="A85:D85"/>
    <mergeCell ref="A86:D86"/>
    <mergeCell ref="A87:D87"/>
    <mergeCell ref="A80:D80"/>
    <mergeCell ref="A81:D81"/>
    <mergeCell ref="A82:D82"/>
    <mergeCell ref="A83:D83"/>
    <mergeCell ref="A84:D84"/>
    <mergeCell ref="C71:C74"/>
    <mergeCell ref="A76:D76"/>
    <mergeCell ref="A77:D77"/>
    <mergeCell ref="A78:D78"/>
    <mergeCell ref="A79:D79"/>
    <mergeCell ref="C57:C59"/>
    <mergeCell ref="C60:C62"/>
    <mergeCell ref="C63:C66"/>
    <mergeCell ref="C67:C68"/>
    <mergeCell ref="C69:C70"/>
    <mergeCell ref="C33:C34"/>
    <mergeCell ref="C35:C38"/>
    <mergeCell ref="C39:C40"/>
    <mergeCell ref="C41:C42"/>
    <mergeCell ref="C43:C56"/>
    <mergeCell ref="C21:C23"/>
    <mergeCell ref="C24:C26"/>
    <mergeCell ref="C27:C28"/>
    <mergeCell ref="C29:C30"/>
    <mergeCell ref="C31:C32"/>
    <mergeCell ref="C6:C8"/>
    <mergeCell ref="C9:C11"/>
    <mergeCell ref="C12:C14"/>
    <mergeCell ref="C15:C17"/>
    <mergeCell ref="C18:C20"/>
    <mergeCell ref="A1:A2"/>
    <mergeCell ref="B1:B2"/>
    <mergeCell ref="D1:F1"/>
    <mergeCell ref="G1:H1"/>
    <mergeCell ref="C3:C5"/>
  </mergeCells>
  <pageMargins left="0.70078740157480324" right="0.70078740157480324" top="0.75196850393700787" bottom="0.75196850393700787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cp:revision>1</cp:revision>
  <dcterms:created xsi:type="dcterms:W3CDTF">2026-07-23T19:16:27Z</dcterms:created>
  <dcterms:modified xsi:type="dcterms:W3CDTF">2026-07-23T19:16:27Z</dcterms:modified>
</cp:coreProperties>
</file>