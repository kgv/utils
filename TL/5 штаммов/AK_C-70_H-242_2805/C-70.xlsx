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F:\GSMS\2026\05\AK_C-70_H-242_2805\"/>
    </mc:Choice>
  </mc:AlternateContent>
  <xr:revisionPtr revIDLastSave="0" documentId="13_ncr:1_{3F7429C9-E8B6-4F43-8410-6292AD5B2CE4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" i="1"/>
  <c r="C26" i="1"/>
  <c r="D26" i="1"/>
  <c r="B26" i="1"/>
</calcChain>
</file>

<file path=xl/sharedStrings.xml><?xml version="1.0" encoding="utf-8"?>
<sst xmlns="http://schemas.openxmlformats.org/spreadsheetml/2006/main" count="50" uniqueCount="26">
  <si>
    <t>Dodecanoic acid, methyl ester</t>
  </si>
  <si>
    <t>Methyl tetradecanoate</t>
  </si>
  <si>
    <t>Hexadecanoic acid, methyl ester</t>
  </si>
  <si>
    <t>9-Hexadecenoic acid, methyl ester, (Z)-</t>
  </si>
  <si>
    <t>(Z)-Methyl hexadec-11-enoate</t>
  </si>
  <si>
    <t>Heptadecanoic acid, methyl ester</t>
  </si>
  <si>
    <t>7,10-Hexadecadienoic acid, methyl ester</t>
  </si>
  <si>
    <t>Methyl stearate</t>
  </si>
  <si>
    <t>9-Octadecenoic acid (Z)-, methyl ester</t>
  </si>
  <si>
    <t>11-Octadecenoic acid, methyl ester</t>
  </si>
  <si>
    <t>9,12-Octadecadienoic acid (Z,Z)-, methyl ester</t>
  </si>
  <si>
    <t>Methyl γ-linolenate</t>
  </si>
  <si>
    <t>Eicosanoic acid, methyl ester</t>
  </si>
  <si>
    <t>9,12,15-Octadecatrienoic acid, methyl ester, (Z,Z,Z)-</t>
  </si>
  <si>
    <t>11-Eicosenoic acid, methyl ester</t>
  </si>
  <si>
    <t xml:space="preserve"> 6,9,12,15-octadecatetraenoate</t>
  </si>
  <si>
    <t>cis-11,14-Eicosadienoic acid, methyl ester</t>
  </si>
  <si>
    <t>8,11,14-Eicosatrienoic acid, methyl ester, (Z,Z,Z)-</t>
  </si>
  <si>
    <t>Docosanoic acid, methyl ester</t>
  </si>
  <si>
    <t>5,8,11,14-Eicosatetraenoic acid, methyl ester, (all-Z)-</t>
  </si>
  <si>
    <t>13-Docosenoic acid, methyl ester, (Z)-</t>
  </si>
  <si>
    <t>ω-3 Arachidonic Acid methyl ester</t>
  </si>
  <si>
    <t>5,8,11,14,17-Eicosapentaenoic acid, methyl ester, (all-Z)-</t>
  </si>
  <si>
    <t>Tetracosanoic acid, methyl ester</t>
  </si>
  <si>
    <t>C 17:0, mkg/ml</t>
  </si>
  <si>
    <t>V  17:0,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</si>
</sst>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horizontal="right" vertical="center"/>
    </xf>
    <xf numFmtId="164" fontId="0" fillId="0" borderId="0" xfId="0" applyNumberFormat="1"/>
    <xf numFmtId="166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H29" sqref="H29"/>
    </sheetView>
  </sheetViews>
  <sheetFormatPr defaultRowHeight="14.5" x14ac:dyDescent="0.35"/>
  <cols>
    <col min="2" max="2" width="13.36328125" bestFit="1" customWidth="1"/>
  </cols>
  <sheetData>
    <row r="1" spans="1:8" x14ac:dyDescent="0.35">
      <c r="B1">
        <v>1</v>
      </c>
      <c r="C1">
        <v>3</v>
      </c>
      <c r="D1">
        <v>2</v>
      </c>
      <c r="F1">
        <v>1</v>
      </c>
      <c r="G1">
        <v>3</v>
      </c>
      <c r="H1">
        <v>2</v>
      </c>
    </row>
    <row r="2" spans="1:8" x14ac:dyDescent="0.35">
      <c r="A2" s="1" t="s">
        <v>0</v>
      </c>
      <c r="B2" s="2">
        <v>129084.33103032369</v>
      </c>
      <c r="C2" s="2">
        <v>916.83848608840242</v>
      </c>
      <c r="D2" s="2">
        <v>0</v>
      </c>
      <c r="E2" s="1" t="s">
        <v>0</v>
      </c>
      <c r="F2" s="4">
        <f>B2/B$26*100</f>
        <v>2.2550048964943732E-2</v>
      </c>
      <c r="G2" s="4">
        <f t="shared" ref="G2:H17" si="0">C2/C$26*100</f>
        <v>1.7329411957029222E-4</v>
      </c>
      <c r="H2" s="4">
        <f t="shared" si="0"/>
        <v>0</v>
      </c>
    </row>
    <row r="3" spans="1:8" x14ac:dyDescent="0.35">
      <c r="A3" s="1" t="s">
        <v>1</v>
      </c>
      <c r="B3" s="2">
        <v>17344683.120648645</v>
      </c>
      <c r="C3" s="2">
        <v>15241991.307300203</v>
      </c>
      <c r="D3" s="2">
        <v>13977448.724153558</v>
      </c>
      <c r="E3" s="1" t="s">
        <v>1</v>
      </c>
      <c r="F3" s="4">
        <f t="shared" ref="F3:F25" si="1">B3/B$26*100</f>
        <v>3.029983968853506</v>
      </c>
      <c r="G3" s="4">
        <f t="shared" si="0"/>
        <v>2.8809299611381656</v>
      </c>
      <c r="H3" s="4">
        <f t="shared" si="0"/>
        <v>2.8234679593046605</v>
      </c>
    </row>
    <row r="4" spans="1:8" x14ac:dyDescent="0.35">
      <c r="A4" s="1" t="s">
        <v>2</v>
      </c>
      <c r="B4" s="2">
        <v>138214462.88826329</v>
      </c>
      <c r="C4" s="2">
        <v>129716230.37522216</v>
      </c>
      <c r="D4" s="2">
        <v>120380557.71385148</v>
      </c>
      <c r="E4" s="1" t="s">
        <v>2</v>
      </c>
      <c r="F4" s="4">
        <f t="shared" si="1"/>
        <v>24.145013425847704</v>
      </c>
      <c r="G4" s="4">
        <f t="shared" si="0"/>
        <v>24.518015198899349</v>
      </c>
      <c r="H4" s="4">
        <f t="shared" si="0"/>
        <v>24.317073475715297</v>
      </c>
    </row>
    <row r="5" spans="1:8" x14ac:dyDescent="0.35">
      <c r="A5" s="1" t="s">
        <v>3</v>
      </c>
      <c r="B5" s="2">
        <v>188346556.36396959</v>
      </c>
      <c r="C5" s="2">
        <v>180769189.61614263</v>
      </c>
      <c r="D5" s="2">
        <v>169966109.11625057</v>
      </c>
      <c r="E5" s="1" t="s">
        <v>3</v>
      </c>
      <c r="F5" s="4">
        <f t="shared" si="1"/>
        <v>32.902708132626238</v>
      </c>
      <c r="G5" s="4">
        <f t="shared" si="0"/>
        <v>34.167672971075675</v>
      </c>
      <c r="H5" s="4">
        <f t="shared" si="0"/>
        <v>34.333437577069311</v>
      </c>
    </row>
    <row r="6" spans="1:8" x14ac:dyDescent="0.35">
      <c r="A6" s="1" t="s">
        <v>4</v>
      </c>
      <c r="B6" s="2">
        <v>598676.20663586317</v>
      </c>
      <c r="C6" s="2">
        <v>708133.05723919638</v>
      </c>
      <c r="D6" s="2">
        <v>512481.02127439121</v>
      </c>
      <c r="E6" s="1" t="s">
        <v>4</v>
      </c>
      <c r="F6" s="4">
        <f t="shared" si="1"/>
        <v>0.10458417118506899</v>
      </c>
      <c r="G6" s="4">
        <f t="shared" si="0"/>
        <v>0.13384614253753474</v>
      </c>
      <c r="H6" s="4">
        <f t="shared" si="0"/>
        <v>0.10352202121260859</v>
      </c>
    </row>
    <row r="7" spans="1:8" x14ac:dyDescent="0.35">
      <c r="A7" s="1" t="s">
        <v>5</v>
      </c>
      <c r="B7" s="2">
        <v>43235534.992613412</v>
      </c>
      <c r="C7" s="2">
        <v>82028290.392882392</v>
      </c>
      <c r="D7" s="2">
        <v>38387971.255097464</v>
      </c>
      <c r="E7" s="1" t="s">
        <v>5</v>
      </c>
      <c r="F7" s="4">
        <f t="shared" si="1"/>
        <v>7.5529184938793081</v>
      </c>
      <c r="G7" s="4">
        <f t="shared" si="0"/>
        <v>15.504388809132285</v>
      </c>
      <c r="H7" s="4">
        <f t="shared" si="0"/>
        <v>7.7544342319195074</v>
      </c>
    </row>
    <row r="8" spans="1:8" x14ac:dyDescent="0.35">
      <c r="A8" s="1" t="s">
        <v>6</v>
      </c>
      <c r="B8" s="2">
        <v>1041378.0861038477</v>
      </c>
      <c r="C8" s="2">
        <v>1090714.4095503436</v>
      </c>
      <c r="D8" s="2">
        <v>915172.76921959547</v>
      </c>
      <c r="E8" s="1" t="s">
        <v>6</v>
      </c>
      <c r="F8" s="4">
        <f t="shared" si="1"/>
        <v>0.18192081599078547</v>
      </c>
      <c r="G8" s="4">
        <f t="shared" si="0"/>
        <v>0.2061588776798283</v>
      </c>
      <c r="H8" s="4">
        <f t="shared" si="0"/>
        <v>0.18486642606346779</v>
      </c>
    </row>
    <row r="9" spans="1:8" x14ac:dyDescent="0.35">
      <c r="A9" s="1" t="s">
        <v>7</v>
      </c>
      <c r="B9" s="2">
        <v>5072830.6326891379</v>
      </c>
      <c r="C9" s="2">
        <v>4116550.9500758527</v>
      </c>
      <c r="D9" s="2">
        <v>3074461.9080240615</v>
      </c>
      <c r="E9" s="1" t="s">
        <v>7</v>
      </c>
      <c r="F9" s="4">
        <f t="shared" si="1"/>
        <v>0.8861848548537945</v>
      </c>
      <c r="G9" s="4">
        <f t="shared" si="0"/>
        <v>0.77808041807143402</v>
      </c>
      <c r="H9" s="4">
        <f t="shared" si="0"/>
        <v>0.6210464342042713</v>
      </c>
    </row>
    <row r="10" spans="1:8" x14ac:dyDescent="0.35">
      <c r="A10" s="1" t="s">
        <v>8</v>
      </c>
      <c r="B10" s="2">
        <v>43412949.896341182</v>
      </c>
      <c r="C10" s="2">
        <v>36579946.632802524</v>
      </c>
      <c r="D10" s="2">
        <v>34354779.081897058</v>
      </c>
      <c r="E10" s="1" t="s">
        <v>8</v>
      </c>
      <c r="F10" s="4">
        <f t="shared" si="1"/>
        <v>7.5839115255992642</v>
      </c>
      <c r="G10" s="4">
        <f t="shared" si="0"/>
        <v>6.9140745527654115</v>
      </c>
      <c r="H10" s="4">
        <f t="shared" si="0"/>
        <v>6.9397226848063713</v>
      </c>
    </row>
    <row r="11" spans="1:8" x14ac:dyDescent="0.35">
      <c r="A11" s="1" t="s">
        <v>9</v>
      </c>
      <c r="B11" s="2">
        <v>4248359.8016741564</v>
      </c>
      <c r="C11" s="2">
        <v>3203204.5289640133</v>
      </c>
      <c r="D11" s="2">
        <v>3293277.0622958965</v>
      </c>
      <c r="E11" s="1" t="s">
        <v>9</v>
      </c>
      <c r="F11" s="4">
        <f t="shared" si="1"/>
        <v>0.74215608342073647</v>
      </c>
      <c r="G11" s="4">
        <f t="shared" si="0"/>
        <v>0.60544634313798684</v>
      </c>
      <c r="H11" s="4">
        <f t="shared" si="0"/>
        <v>0.6652474603922065</v>
      </c>
    </row>
    <row r="12" spans="1:8" x14ac:dyDescent="0.35">
      <c r="A12" s="1" t="s">
        <v>10</v>
      </c>
      <c r="B12" s="2">
        <v>34505168.36719282</v>
      </c>
      <c r="C12" s="2">
        <v>29326864.564199042</v>
      </c>
      <c r="D12" s="2">
        <v>27773153.732501972</v>
      </c>
      <c r="E12" s="1" t="s">
        <v>10</v>
      </c>
      <c r="F12" s="4">
        <f t="shared" si="1"/>
        <v>6.0277899727507656</v>
      </c>
      <c r="G12" s="4">
        <f t="shared" si="0"/>
        <v>5.5431499130153732</v>
      </c>
      <c r="H12" s="4">
        <f t="shared" si="0"/>
        <v>5.6102233848338212</v>
      </c>
    </row>
    <row r="13" spans="1:8" x14ac:dyDescent="0.35">
      <c r="A13" s="1" t="s">
        <v>11</v>
      </c>
      <c r="B13" s="2">
        <v>1874596.3122363708</v>
      </c>
      <c r="C13" s="2">
        <v>1723073.0762366138</v>
      </c>
      <c r="D13" s="2">
        <v>1662545.3384323055</v>
      </c>
      <c r="E13" s="1" t="s">
        <v>11</v>
      </c>
      <c r="F13" s="4">
        <f t="shared" si="1"/>
        <v>0.32747769069278265</v>
      </c>
      <c r="G13" s="4">
        <f t="shared" si="0"/>
        <v>0.3256826979151351</v>
      </c>
      <c r="H13" s="4">
        <f t="shared" si="0"/>
        <v>0.3358369318031037</v>
      </c>
    </row>
    <row r="14" spans="1:8" x14ac:dyDescent="0.35">
      <c r="A14" s="1" t="s">
        <v>12</v>
      </c>
      <c r="B14" s="2">
        <v>581901.01439187548</v>
      </c>
      <c r="C14" s="2">
        <v>232822.15377241987</v>
      </c>
      <c r="D14" s="2">
        <v>334270.67348057218</v>
      </c>
      <c r="E14" s="1" t="s">
        <v>12</v>
      </c>
      <c r="F14" s="4">
        <f t="shared" si="1"/>
        <v>0.10165367293265598</v>
      </c>
      <c r="G14" s="4">
        <f t="shared" si="0"/>
        <v>4.4006344374335545E-2</v>
      </c>
      <c r="H14" s="4">
        <f t="shared" si="0"/>
        <v>6.7523233669722516E-2</v>
      </c>
    </row>
    <row r="15" spans="1:8" x14ac:dyDescent="0.35">
      <c r="A15" s="1" t="s">
        <v>13</v>
      </c>
      <c r="B15" s="2">
        <v>4073085.1197579694</v>
      </c>
      <c r="C15" s="2">
        <v>2433311.4190725447</v>
      </c>
      <c r="D15" s="2">
        <v>2152154.7754949173</v>
      </c>
      <c r="E15" s="1" t="s">
        <v>13</v>
      </c>
      <c r="F15" s="4">
        <f t="shared" si="1"/>
        <v>0.71153693214205438</v>
      </c>
      <c r="G15" s="4">
        <f t="shared" si="0"/>
        <v>0.4599267661718297</v>
      </c>
      <c r="H15" s="4">
        <f t="shared" si="0"/>
        <v>0.4347388548508086</v>
      </c>
    </row>
    <row r="16" spans="1:8" x14ac:dyDescent="0.35">
      <c r="A16" s="1" t="s">
        <v>14</v>
      </c>
      <c r="B16" s="2">
        <v>482408.98199232674</v>
      </c>
      <c r="C16" s="2">
        <v>86702.37248308165</v>
      </c>
      <c r="D16" s="2">
        <v>64774.221541584222</v>
      </c>
      <c r="E16" s="1" t="s">
        <v>14</v>
      </c>
      <c r="F16" s="4">
        <f t="shared" si="1"/>
        <v>8.4273173035231935E-2</v>
      </c>
      <c r="G16" s="4">
        <f t="shared" si="0"/>
        <v>1.6387849694458004E-2</v>
      </c>
      <c r="H16" s="4">
        <f t="shared" si="0"/>
        <v>1.308450080704124E-2</v>
      </c>
    </row>
    <row r="17" spans="1:8" x14ac:dyDescent="0.35">
      <c r="A17" s="1" t="s">
        <v>15</v>
      </c>
      <c r="B17" s="2">
        <v>379462.38281309837</v>
      </c>
      <c r="C17" s="2">
        <v>349732.30347591807</v>
      </c>
      <c r="D17" s="2">
        <v>304853.2435456551</v>
      </c>
      <c r="E17" s="1" t="s">
        <v>15</v>
      </c>
      <c r="F17" s="4">
        <f t="shared" si="1"/>
        <v>6.6289186646359563E-2</v>
      </c>
      <c r="G17" s="4">
        <f t="shared" si="0"/>
        <v>6.6103847663203055E-2</v>
      </c>
      <c r="H17" s="4">
        <f t="shared" si="0"/>
        <v>6.1580863749037443E-2</v>
      </c>
    </row>
    <row r="18" spans="1:8" x14ac:dyDescent="0.35">
      <c r="A18" s="1" t="s">
        <v>16</v>
      </c>
      <c r="B18" s="2">
        <v>855082.0371808497</v>
      </c>
      <c r="C18" s="2">
        <v>305367.61444532865</v>
      </c>
      <c r="D18" s="2">
        <v>359677.30398472783</v>
      </c>
      <c r="E18" s="1" t="s">
        <v>16</v>
      </c>
      <c r="F18" s="4">
        <f t="shared" si="1"/>
        <v>0.14937631588254005</v>
      </c>
      <c r="G18" s="4">
        <f t="shared" ref="G18:G25" si="2">C18/C$26*100</f>
        <v>5.7718357915312511E-2</v>
      </c>
      <c r="H18" s="4">
        <f t="shared" ref="H18:H25" si="3">D18/D$26*100</f>
        <v>7.2655415414622462E-2</v>
      </c>
    </row>
    <row r="19" spans="1:8" x14ac:dyDescent="0.35">
      <c r="A19" s="1" t="s">
        <v>17</v>
      </c>
      <c r="B19" s="2">
        <v>9914985.0532392506</v>
      </c>
      <c r="C19" s="2">
        <v>8930289.6965908669</v>
      </c>
      <c r="D19" s="2">
        <v>8287261.5685956804</v>
      </c>
      <c r="E19" s="1" t="s">
        <v>17</v>
      </c>
      <c r="F19" s="4">
        <f t="shared" si="1"/>
        <v>1.732072333277286</v>
      </c>
      <c r="G19" s="4">
        <f t="shared" si="2"/>
        <v>1.687938185362289</v>
      </c>
      <c r="H19" s="4">
        <f t="shared" si="3"/>
        <v>1.6740406615745793</v>
      </c>
    </row>
    <row r="20" spans="1:8" x14ac:dyDescent="0.35">
      <c r="A20" s="1" t="s">
        <v>18</v>
      </c>
      <c r="B20" s="2">
        <v>1162440.9318527037</v>
      </c>
      <c r="C20" s="2">
        <v>173688.19446070079</v>
      </c>
      <c r="D20" s="2">
        <v>123410.40504533603</v>
      </c>
      <c r="E20" s="1" t="s">
        <v>18</v>
      </c>
      <c r="F20" s="4">
        <f t="shared" si="1"/>
        <v>0.20306957260347477</v>
      </c>
      <c r="G20" s="4">
        <f t="shared" si="2"/>
        <v>3.2829274943764371E-2</v>
      </c>
      <c r="H20" s="4">
        <f t="shared" si="3"/>
        <v>2.4929107691033042E-2</v>
      </c>
    </row>
    <row r="21" spans="1:8" x14ac:dyDescent="0.35">
      <c r="A21" s="1" t="s">
        <v>19</v>
      </c>
      <c r="B21" s="2">
        <v>34177920.12949013</v>
      </c>
      <c r="C21" s="2">
        <v>32131442.019563958</v>
      </c>
      <c r="D21" s="2">
        <v>30537882.678597145</v>
      </c>
      <c r="E21" s="1" t="s">
        <v>19</v>
      </c>
      <c r="F21" s="4">
        <f t="shared" si="1"/>
        <v>5.9706221993658328</v>
      </c>
      <c r="G21" s="4">
        <f t="shared" si="2"/>
        <v>6.0732506758745917</v>
      </c>
      <c r="H21" s="4">
        <f t="shared" si="3"/>
        <v>6.16870324403535</v>
      </c>
    </row>
    <row r="22" spans="1:8" x14ac:dyDescent="0.35">
      <c r="A22" s="1" t="s">
        <v>20</v>
      </c>
      <c r="B22" s="2">
        <v>441101.88270429999</v>
      </c>
      <c r="C22" s="2">
        <v>3451312.3230698877</v>
      </c>
      <c r="D22" s="2">
        <v>3267541.4728328935</v>
      </c>
      <c r="E22" s="1" t="s">
        <v>20</v>
      </c>
      <c r="F22" s="4">
        <f t="shared" si="1"/>
        <v>7.7057137563614708E-2</v>
      </c>
      <c r="G22" s="4">
        <f t="shared" si="2"/>
        <v>0.6523418676938344</v>
      </c>
      <c r="H22" s="4">
        <f t="shared" si="3"/>
        <v>0.6600488283888537</v>
      </c>
    </row>
    <row r="23" spans="1:8" x14ac:dyDescent="0.35">
      <c r="A23" s="1" t="s">
        <v>21</v>
      </c>
      <c r="B23" s="2">
        <v>3883593.8663341734</v>
      </c>
      <c r="C23" s="2">
        <v>85990.491561840114</v>
      </c>
      <c r="D23" s="2">
        <v>201505.48557105521</v>
      </c>
      <c r="E23" s="1" t="s">
        <v>21</v>
      </c>
      <c r="F23" s="4">
        <f t="shared" si="1"/>
        <v>0.67843425415605341</v>
      </c>
      <c r="G23" s="4">
        <f t="shared" si="2"/>
        <v>1.6253295158018589E-2</v>
      </c>
      <c r="H23" s="4">
        <f t="shared" si="3"/>
        <v>4.0704444234579432E-2</v>
      </c>
    </row>
    <row r="24" spans="1:8" x14ac:dyDescent="0.35">
      <c r="A24" s="1" t="s">
        <v>22</v>
      </c>
      <c r="B24" s="2">
        <v>80463778.458528727</v>
      </c>
      <c r="C24" s="2">
        <v>78391121.475954428</v>
      </c>
      <c r="D24" s="2">
        <v>73477753.829241842</v>
      </c>
      <c r="E24" s="1" t="s">
        <v>22</v>
      </c>
      <c r="F24" s="4">
        <f t="shared" si="1"/>
        <v>14.056408935628021</v>
      </c>
      <c r="G24" s="4">
        <f t="shared" si="2"/>
        <v>14.816917684445347</v>
      </c>
      <c r="H24" s="4">
        <f t="shared" si="3"/>
        <v>14.842628848284548</v>
      </c>
    </row>
    <row r="25" spans="1:8" x14ac:dyDescent="0.35">
      <c r="A25" s="1" t="s">
        <v>23</v>
      </c>
      <c r="B25" s="2">
        <v>1230308.9373184971</v>
      </c>
      <c r="C25" s="2">
        <v>16377.102250200527</v>
      </c>
      <c r="D25" s="2">
        <v>24344.560808765771</v>
      </c>
      <c r="E25" s="1" t="s">
        <v>23</v>
      </c>
      <c r="F25" s="4">
        <f t="shared" si="1"/>
        <v>0.21492559598130204</v>
      </c>
      <c r="G25" s="4">
        <f t="shared" si="2"/>
        <v>3.0954803475467369E-3</v>
      </c>
      <c r="H25" s="4">
        <f t="shared" si="3"/>
        <v>4.9176418946982473E-3</v>
      </c>
    </row>
    <row r="26" spans="1:8" x14ac:dyDescent="0.35">
      <c r="B26" s="3">
        <f>SUM(B2:B6,B8:B25)</f>
        <v>572434814.80238903</v>
      </c>
      <c r="C26" s="3">
        <f t="shared" ref="C26:D26" si="4">SUM(C2:C6,C8:C25)</f>
        <v>529064972.52291989</v>
      </c>
      <c r="D26" s="3">
        <f t="shared" si="4"/>
        <v>495045416.6866411</v>
      </c>
    </row>
    <row r="27" spans="1:8" x14ac:dyDescent="0.35">
      <c r="E27" s="1" t="s">
        <v>24</v>
      </c>
      <c r="F27">
        <v>250</v>
      </c>
      <c r="G27">
        <v>1000</v>
      </c>
      <c r="H27">
        <v>250</v>
      </c>
    </row>
    <row r="28" spans="1:8" x14ac:dyDescent="0.35">
      <c r="E28" s="1" t="s">
        <v>25</v>
      </c>
      <c r="F28">
        <v>0.1</v>
      </c>
      <c r="G28">
        <v>0.05</v>
      </c>
      <c r="H28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Александр Стариков</cp:lastModifiedBy>
  <dcterms:created xsi:type="dcterms:W3CDTF">2015-06-05T18:19:34Z</dcterms:created>
  <dcterms:modified xsi:type="dcterms:W3CDTF">2026-05-29T11:17:08Z</dcterms:modified>
</cp:coreProperties>
</file>