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CF5398D5-34A3-431A-B214-30BE86B8CF42}" xr6:coauthVersionLast="47" xr6:coauthVersionMax="47" xr10:uidLastSave="{00000000-0000-0000-0000-000000000000}"/>
  <bookViews>
    <workbookView xWindow="2040" yWindow="1440" windowWidth="28800" windowHeight="1847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29" i="1"/>
  <c r="C30" i="1"/>
  <c r="D30" i="1"/>
  <c r="E30" i="1"/>
  <c r="F30" i="1"/>
  <c r="G30" i="1"/>
  <c r="H30" i="1"/>
  <c r="I30" i="1"/>
  <c r="J30" i="1"/>
  <c r="C31" i="1"/>
  <c r="D31" i="1"/>
  <c r="E31" i="1"/>
  <c r="F31" i="1"/>
  <c r="G31" i="1"/>
  <c r="H31" i="1"/>
  <c r="I31" i="1"/>
  <c r="J31" i="1"/>
  <c r="C33" i="1"/>
  <c r="D33" i="1"/>
  <c r="E33" i="1"/>
  <c r="F33" i="1"/>
  <c r="G33" i="1"/>
  <c r="H33" i="1"/>
  <c r="I33" i="1"/>
  <c r="J33" i="1"/>
  <c r="C34" i="1"/>
  <c r="D34" i="1"/>
  <c r="E34" i="1"/>
  <c r="F34" i="1"/>
  <c r="G34" i="1"/>
  <c r="H34" i="1"/>
  <c r="I34" i="1"/>
  <c r="J34" i="1"/>
  <c r="C36" i="1"/>
  <c r="D36" i="1"/>
  <c r="E36" i="1"/>
  <c r="F36" i="1"/>
  <c r="G36" i="1"/>
  <c r="H36" i="1"/>
  <c r="I36" i="1"/>
  <c r="J36" i="1"/>
  <c r="C37" i="1"/>
  <c r="D37" i="1"/>
  <c r="E37" i="1"/>
  <c r="F37" i="1"/>
  <c r="G37" i="1"/>
  <c r="H37" i="1"/>
  <c r="I37" i="1"/>
  <c r="J37" i="1"/>
  <c r="C39" i="1"/>
  <c r="D39" i="1"/>
  <c r="E39" i="1"/>
  <c r="F39" i="1"/>
  <c r="G39" i="1"/>
  <c r="H39" i="1"/>
  <c r="I39" i="1"/>
  <c r="J39" i="1"/>
  <c r="C40" i="1"/>
  <c r="D40" i="1"/>
  <c r="E40" i="1"/>
  <c r="F40" i="1"/>
  <c r="G40" i="1"/>
  <c r="H40" i="1"/>
  <c r="I40" i="1"/>
  <c r="J40" i="1"/>
  <c r="C42" i="1"/>
  <c r="D42" i="1"/>
  <c r="E42" i="1"/>
  <c r="F42" i="1"/>
  <c r="G42" i="1"/>
  <c r="H42" i="1"/>
  <c r="I42" i="1"/>
  <c r="J42" i="1"/>
  <c r="C43" i="1"/>
  <c r="D43" i="1"/>
  <c r="E43" i="1"/>
  <c r="F43" i="1"/>
  <c r="G43" i="1"/>
  <c r="H43" i="1"/>
  <c r="I43" i="1"/>
  <c r="J43" i="1"/>
  <c r="C45" i="1"/>
  <c r="D45" i="1"/>
  <c r="E45" i="1"/>
  <c r="F45" i="1"/>
  <c r="G45" i="1"/>
  <c r="H45" i="1"/>
  <c r="I45" i="1"/>
  <c r="J45" i="1"/>
  <c r="C46" i="1"/>
  <c r="D46" i="1"/>
  <c r="E46" i="1"/>
  <c r="F46" i="1"/>
  <c r="G46" i="1"/>
  <c r="H46" i="1"/>
  <c r="I46" i="1"/>
  <c r="J46" i="1"/>
  <c r="B34" i="1"/>
  <c r="B35" i="1"/>
  <c r="B36" i="1"/>
  <c r="B37" i="1"/>
  <c r="B38" i="1"/>
  <c r="B39" i="1"/>
  <c r="B40" i="1"/>
  <c r="B41" i="1"/>
  <c r="B42" i="1"/>
  <c r="B43" i="1"/>
  <c r="B44" i="1"/>
  <c r="B45" i="1"/>
  <c r="C22" i="1"/>
  <c r="C29" i="1" s="1"/>
  <c r="D22" i="1"/>
  <c r="D29" i="1" s="1"/>
  <c r="E22" i="1"/>
  <c r="E35" i="1" s="1"/>
  <c r="F22" i="1"/>
  <c r="F32" i="1" s="1"/>
  <c r="G22" i="1"/>
  <c r="G35" i="1" s="1"/>
  <c r="H22" i="1"/>
  <c r="H29" i="1" s="1"/>
  <c r="I22" i="1"/>
  <c r="I29" i="1" s="1"/>
  <c r="J22" i="1"/>
  <c r="J38" i="1" s="1"/>
  <c r="B22" i="1"/>
  <c r="B46" i="1" s="1"/>
  <c r="J35" i="1" l="1"/>
  <c r="F35" i="1"/>
  <c r="F29" i="1"/>
  <c r="B31" i="1"/>
  <c r="J29" i="1"/>
  <c r="H41" i="1"/>
  <c r="H32" i="1"/>
  <c r="G47" i="1"/>
  <c r="G32" i="1"/>
  <c r="E29" i="1"/>
  <c r="B33" i="1"/>
  <c r="B30" i="1"/>
  <c r="J41" i="1"/>
  <c r="J32" i="1"/>
  <c r="G41" i="1"/>
  <c r="G29" i="1"/>
  <c r="F44" i="1"/>
  <c r="F38" i="1"/>
  <c r="B29" i="1"/>
  <c r="E44" i="1"/>
  <c r="E38" i="1"/>
  <c r="E32" i="1"/>
  <c r="B47" i="1"/>
  <c r="D47" i="1"/>
  <c r="D44" i="1"/>
  <c r="D41" i="1"/>
  <c r="D38" i="1"/>
  <c r="D35" i="1"/>
  <c r="D32" i="1"/>
  <c r="B32" i="1"/>
  <c r="J47" i="1"/>
  <c r="J44" i="1"/>
  <c r="I47" i="1"/>
  <c r="I44" i="1"/>
  <c r="I41" i="1"/>
  <c r="I38" i="1"/>
  <c r="I35" i="1"/>
  <c r="I32" i="1"/>
  <c r="H47" i="1"/>
  <c r="H44" i="1"/>
  <c r="H38" i="1"/>
  <c r="H35" i="1"/>
  <c r="G44" i="1"/>
  <c r="G38" i="1"/>
  <c r="F47" i="1"/>
  <c r="F41" i="1"/>
  <c r="E47" i="1"/>
  <c r="E41" i="1"/>
  <c r="C47" i="1"/>
  <c r="C44" i="1"/>
  <c r="C41" i="1"/>
  <c r="C38" i="1"/>
  <c r="C35" i="1"/>
  <c r="C32" i="1"/>
</calcChain>
</file>

<file path=xl/sharedStrings.xml><?xml version="1.0" encoding="utf-8"?>
<sst xmlns="http://schemas.openxmlformats.org/spreadsheetml/2006/main" count="40" uniqueCount="21">
  <si>
    <t>Hexadecanoic acid, methyl ester</t>
  </si>
  <si>
    <t>7-Hexadecenoic acid, methyl ester, (Z)-</t>
  </si>
  <si>
    <t>9-Hexadecenoic acid, methyl ester, (Z)-</t>
  </si>
  <si>
    <t>(Z)-Methyl hexadec-11-enoate</t>
  </si>
  <si>
    <t>Heptadecanoic acid, methyl ester</t>
  </si>
  <si>
    <t>7,10-Hexadecadienoic acid, methyl ester</t>
  </si>
  <si>
    <t>Methyl stearate</t>
  </si>
  <si>
    <t>7,10,13-Hexadecatrienoic acid, methyl ester</t>
  </si>
  <si>
    <t>9-Octadecenoic acid (Z)-, methyl ester</t>
  </si>
  <si>
    <t>11-Octadecenoic acid, methyl ester</t>
  </si>
  <si>
    <t>9,12-Octadecadienoic acid (Z,Z)-, methyl ester</t>
  </si>
  <si>
    <t>Eicosanoic acid, methyl ester</t>
  </si>
  <si>
    <t>9,12,15-Octadecatrienoic acid, methyl ester, (Z,Z,Z)-</t>
  </si>
  <si>
    <t>Docosanoic acid, methyl ester</t>
  </si>
  <si>
    <t>Tricosanoic acid, methyl ester</t>
  </si>
  <si>
    <t>Tetracosanoic acid, methyl ester</t>
  </si>
  <si>
    <t>10-Nonadecenoic acid, methyl ester</t>
  </si>
  <si>
    <t>Methyl γ-linolenate</t>
  </si>
  <si>
    <t>11-Eicosenoic acid, methyl ester</t>
  </si>
  <si>
    <t>C 17:0, mkg/ml</t>
  </si>
  <si>
    <t>V 17:0,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</si>
</sst>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10" workbookViewId="0">
      <selection activeCell="L29" sqref="L29:L47"/>
    </sheetView>
  </sheetViews>
  <sheetFormatPr defaultRowHeight="14.5" x14ac:dyDescent="0.35"/>
  <cols>
    <col min="2" max="2" width="14.7265625" bestFit="1" customWidth="1"/>
  </cols>
  <sheetData>
    <row r="1" spans="1:15" x14ac:dyDescent="0.35">
      <c r="B1" s="15">
        <v>1</v>
      </c>
      <c r="C1" s="15"/>
      <c r="D1" s="15"/>
      <c r="E1" s="15">
        <v>2</v>
      </c>
      <c r="F1" s="15"/>
      <c r="G1" s="15"/>
      <c r="H1" s="15">
        <v>3</v>
      </c>
      <c r="I1" s="15"/>
      <c r="J1" s="15"/>
    </row>
    <row r="2" spans="1:15" x14ac:dyDescent="0.35">
      <c r="B2" s="1">
        <v>1</v>
      </c>
      <c r="C2" s="1">
        <v>2</v>
      </c>
      <c r="D2" s="1">
        <v>3</v>
      </c>
      <c r="E2" s="1">
        <v>1</v>
      </c>
      <c r="F2" s="1">
        <v>2</v>
      </c>
      <c r="G2" s="1">
        <v>3</v>
      </c>
      <c r="H2" s="1">
        <v>1</v>
      </c>
      <c r="I2" s="1">
        <v>2</v>
      </c>
      <c r="J2" s="1">
        <v>3</v>
      </c>
    </row>
    <row r="3" spans="1:15" x14ac:dyDescent="0.35">
      <c r="A3" s="2" t="s">
        <v>0</v>
      </c>
      <c r="B3" s="3">
        <v>543590369.96427941</v>
      </c>
      <c r="C3" s="3">
        <v>719075091.56730044</v>
      </c>
      <c r="D3" s="3">
        <v>671459174.37614751</v>
      </c>
      <c r="E3" s="3">
        <v>498625652.02849746</v>
      </c>
      <c r="F3" s="3">
        <v>568032172.5179131</v>
      </c>
      <c r="G3" s="3">
        <v>584903409.03387046</v>
      </c>
      <c r="H3" s="3">
        <v>489274382.10736793</v>
      </c>
      <c r="I3" s="3">
        <v>519616909.83919191</v>
      </c>
      <c r="J3" s="3">
        <v>505868580.78222018</v>
      </c>
      <c r="K3" s="2"/>
      <c r="L3" s="3"/>
      <c r="N3" s="2"/>
      <c r="O3" s="3"/>
    </row>
    <row r="4" spans="1:15" x14ac:dyDescent="0.35">
      <c r="A4" s="2" t="s">
        <v>1</v>
      </c>
      <c r="B4" s="3">
        <v>43067118.181297101</v>
      </c>
      <c r="C4" s="3">
        <v>57096040.021220095</v>
      </c>
      <c r="D4" s="3">
        <v>47539613.663955271</v>
      </c>
      <c r="E4" s="3">
        <v>36857430.932427473</v>
      </c>
      <c r="F4" s="3">
        <v>42576794.713356249</v>
      </c>
      <c r="G4" s="3">
        <v>43866558.203293458</v>
      </c>
      <c r="H4" s="3">
        <v>38011978.897626594</v>
      </c>
      <c r="I4" s="3">
        <v>37489289.451657251</v>
      </c>
      <c r="J4" s="3">
        <v>36043943.077552065</v>
      </c>
      <c r="K4" s="2"/>
      <c r="L4" s="3"/>
      <c r="N4" s="2"/>
      <c r="O4" s="3"/>
    </row>
    <row r="5" spans="1:15" x14ac:dyDescent="0.35">
      <c r="A5" s="2" t="s">
        <v>2</v>
      </c>
      <c r="B5" s="3">
        <v>3454680.1702232407</v>
      </c>
      <c r="C5" s="3">
        <v>4563806.0091836015</v>
      </c>
      <c r="D5" s="3">
        <v>4565740.4401509492</v>
      </c>
      <c r="E5" s="3">
        <v>3427407.2511480264</v>
      </c>
      <c r="F5" s="3">
        <v>4301866.7138743335</v>
      </c>
      <c r="G5" s="3">
        <v>3754277.6819257075</v>
      </c>
      <c r="H5" s="3">
        <v>3513760.9103025524</v>
      </c>
      <c r="I5" s="3">
        <v>3627489.9868067377</v>
      </c>
      <c r="J5" s="3">
        <v>3263681.7726687188</v>
      </c>
      <c r="K5" s="2"/>
      <c r="L5" s="3"/>
      <c r="N5" s="2"/>
      <c r="O5" s="3"/>
    </row>
    <row r="6" spans="1:15" x14ac:dyDescent="0.35">
      <c r="A6" s="2" t="s">
        <v>3</v>
      </c>
      <c r="B6" s="3">
        <v>470145.46998387482</v>
      </c>
      <c r="C6" s="3">
        <v>474436.51111696765</v>
      </c>
      <c r="D6" s="3">
        <v>312600.28781705443</v>
      </c>
      <c r="E6" s="3">
        <v>244018.6236955818</v>
      </c>
      <c r="F6" s="3">
        <v>303647.83520282287</v>
      </c>
      <c r="G6" s="3">
        <v>349117.62889227556</v>
      </c>
      <c r="H6" s="3">
        <v>363481.74769296835</v>
      </c>
      <c r="I6" s="3">
        <v>468832.467969344</v>
      </c>
      <c r="J6" s="3">
        <v>380419.38460837631</v>
      </c>
      <c r="K6" s="2"/>
      <c r="L6" s="3"/>
      <c r="N6" s="2"/>
      <c r="O6" s="3"/>
    </row>
    <row r="7" spans="1:15" x14ac:dyDescent="0.35">
      <c r="A7" s="2" t="s">
        <v>4</v>
      </c>
      <c r="B7" s="3">
        <v>37766257.818711519</v>
      </c>
      <c r="C7" s="3">
        <v>165597992.09915334</v>
      </c>
      <c r="D7" s="3">
        <v>156941491.05036977</v>
      </c>
      <c r="E7" s="3">
        <v>37747174.879279695</v>
      </c>
      <c r="F7" s="3">
        <v>161105356.19473472</v>
      </c>
      <c r="G7" s="3">
        <v>166198011.25250453</v>
      </c>
      <c r="H7" s="3">
        <v>37774123.15039774</v>
      </c>
      <c r="I7" s="3">
        <v>144132201.16602656</v>
      </c>
      <c r="J7" s="3">
        <v>137371989.65936092</v>
      </c>
      <c r="K7" s="2"/>
      <c r="L7" s="3"/>
      <c r="N7" s="2"/>
      <c r="O7" s="3"/>
    </row>
    <row r="8" spans="1:15" x14ac:dyDescent="0.35">
      <c r="A8" s="2" t="s">
        <v>5</v>
      </c>
      <c r="B8" s="3">
        <v>111071640.73035404</v>
      </c>
      <c r="C8" s="3">
        <v>154176763.01646671</v>
      </c>
      <c r="D8" s="3">
        <v>139176504.01262671</v>
      </c>
      <c r="E8" s="3">
        <v>116123341.25251444</v>
      </c>
      <c r="F8" s="3">
        <v>126810584.23617584</v>
      </c>
      <c r="G8" s="3">
        <v>134365306.48710701</v>
      </c>
      <c r="H8" s="3">
        <v>118278562.97634815</v>
      </c>
      <c r="I8" s="3">
        <v>117217765.18474254</v>
      </c>
      <c r="J8" s="3">
        <v>112822678.94688177</v>
      </c>
      <c r="K8" s="2"/>
      <c r="L8" s="3"/>
      <c r="N8" s="2"/>
      <c r="O8" s="3"/>
    </row>
    <row r="9" spans="1:15" x14ac:dyDescent="0.35">
      <c r="A9" s="2" t="s">
        <v>6</v>
      </c>
      <c r="B9" s="3">
        <v>63187541.16553463</v>
      </c>
      <c r="C9" s="3">
        <v>82873376.707223341</v>
      </c>
      <c r="D9" s="3">
        <v>79758191.290821627</v>
      </c>
      <c r="E9" s="3">
        <v>55886004.193250261</v>
      </c>
      <c r="F9" s="3">
        <v>62970574.533825405</v>
      </c>
      <c r="G9" s="3">
        <v>65344452.14530693</v>
      </c>
      <c r="H9" s="3">
        <v>44126194.824528322</v>
      </c>
      <c r="I9" s="3">
        <v>44924652.15541108</v>
      </c>
      <c r="J9" s="3">
        <v>44493278.300140321</v>
      </c>
      <c r="K9" s="2"/>
      <c r="L9" s="3"/>
      <c r="N9" s="2"/>
      <c r="O9" s="3"/>
    </row>
    <row r="10" spans="1:15" x14ac:dyDescent="0.35">
      <c r="A10" s="2" t="s">
        <v>7</v>
      </c>
      <c r="B10" s="3">
        <v>60630041.739026442</v>
      </c>
      <c r="C10" s="3">
        <v>88995418.238255292</v>
      </c>
      <c r="D10" s="3">
        <v>79610753.728589475</v>
      </c>
      <c r="E10" s="3">
        <v>62275432.943720385</v>
      </c>
      <c r="F10" s="3">
        <v>67603928.57550779</v>
      </c>
      <c r="G10" s="3">
        <v>71465894.628420249</v>
      </c>
      <c r="H10" s="3">
        <v>72570634.290097803</v>
      </c>
      <c r="I10" s="3">
        <v>68901219.18248488</v>
      </c>
      <c r="J10" s="3">
        <v>65519068.876775168</v>
      </c>
      <c r="K10" s="2"/>
      <c r="L10" s="3"/>
      <c r="N10" s="2"/>
      <c r="O10" s="3"/>
    </row>
    <row r="11" spans="1:15" x14ac:dyDescent="0.35">
      <c r="A11" s="2" t="s">
        <v>8</v>
      </c>
      <c r="B11" s="3">
        <v>706500770.28159928</v>
      </c>
      <c r="C11" s="3">
        <v>938385891.31080043</v>
      </c>
      <c r="D11" s="3">
        <v>887725777.58828676</v>
      </c>
      <c r="E11" s="3">
        <v>601936510.42977226</v>
      </c>
      <c r="F11" s="3">
        <v>678439597.87743771</v>
      </c>
      <c r="G11" s="3">
        <v>703357166.86131072</v>
      </c>
      <c r="H11" s="3">
        <v>540149820.10961664</v>
      </c>
      <c r="I11" s="3">
        <v>559273584.33325028</v>
      </c>
      <c r="J11" s="3">
        <v>548689078.03212261</v>
      </c>
      <c r="K11" s="2"/>
      <c r="L11" s="3"/>
      <c r="N11" s="2"/>
      <c r="O11" s="3"/>
    </row>
    <row r="12" spans="1:15" x14ac:dyDescent="0.35">
      <c r="A12" s="2" t="s">
        <v>9</v>
      </c>
      <c r="B12" s="3">
        <v>17828921.606934253</v>
      </c>
      <c r="C12" s="3">
        <v>21587542.090721853</v>
      </c>
      <c r="D12" s="3">
        <v>21888006.8069515</v>
      </c>
      <c r="E12" s="3">
        <v>15281834.944133464</v>
      </c>
      <c r="F12" s="3">
        <v>19336765.839430057</v>
      </c>
      <c r="G12" s="3">
        <v>18663974.074588224</v>
      </c>
      <c r="H12" s="3">
        <v>14808770.067908956</v>
      </c>
      <c r="I12" s="3">
        <v>18983049.397275075</v>
      </c>
      <c r="J12" s="3">
        <v>17886808.525572971</v>
      </c>
      <c r="K12" s="2"/>
      <c r="L12" s="3"/>
      <c r="N12" s="2"/>
      <c r="O12" s="3"/>
    </row>
    <row r="13" spans="1:15" x14ac:dyDescent="0.35">
      <c r="A13" s="2" t="s">
        <v>10</v>
      </c>
      <c r="B13" s="3">
        <v>559481888.23199451</v>
      </c>
      <c r="C13" s="3">
        <v>764460257.85801888</v>
      </c>
      <c r="D13" s="3">
        <v>718360934.45681965</v>
      </c>
      <c r="E13" s="3">
        <v>552823239.27658772</v>
      </c>
      <c r="F13" s="3">
        <v>616676608.49621356</v>
      </c>
      <c r="G13" s="3">
        <v>640980614.5186789</v>
      </c>
      <c r="H13" s="3">
        <v>559124740.71104002</v>
      </c>
      <c r="I13" s="3">
        <v>569098623.84325874</v>
      </c>
      <c r="J13" s="3">
        <v>558690799.63985693</v>
      </c>
      <c r="K13" s="2"/>
      <c r="L13" s="3"/>
      <c r="N13" s="2"/>
      <c r="O13" s="3"/>
    </row>
    <row r="14" spans="1:15" x14ac:dyDescent="0.35">
      <c r="A14" s="2" t="s">
        <v>16</v>
      </c>
      <c r="C14" s="3">
        <v>2487285.7589158001</v>
      </c>
      <c r="D14" s="3">
        <v>1696737.3311268408</v>
      </c>
      <c r="F14" s="3">
        <v>1652622.6507301952</v>
      </c>
      <c r="G14" s="3">
        <v>1478653.8907283552</v>
      </c>
      <c r="I14" s="3">
        <v>1174670.6467499847</v>
      </c>
      <c r="J14" s="3">
        <v>1349908.4750772344</v>
      </c>
      <c r="K14" s="2"/>
      <c r="L14" s="3"/>
      <c r="N14" s="2"/>
      <c r="O14" s="3"/>
    </row>
    <row r="15" spans="1:15" x14ac:dyDescent="0.35">
      <c r="A15" s="2" t="s">
        <v>17</v>
      </c>
      <c r="C15" s="3">
        <v>712707.07265898725</v>
      </c>
      <c r="D15" s="3">
        <v>1027355.3598886157</v>
      </c>
      <c r="F15" s="3">
        <v>537087.12613338022</v>
      </c>
      <c r="G15" s="3">
        <v>645189.4916746032</v>
      </c>
      <c r="I15" s="3">
        <v>630264.8369289143</v>
      </c>
      <c r="J15" s="3">
        <v>554984.40953643096</v>
      </c>
      <c r="K15" s="2"/>
      <c r="L15" s="3"/>
      <c r="N15" s="2"/>
      <c r="O15" s="3"/>
    </row>
    <row r="16" spans="1:15" x14ac:dyDescent="0.35">
      <c r="A16" s="2" t="s">
        <v>11</v>
      </c>
      <c r="B16" s="3">
        <v>6413054.1797781056</v>
      </c>
      <c r="C16" s="3">
        <v>5379487.728664225</v>
      </c>
      <c r="D16" s="3">
        <v>5817655.5777500784</v>
      </c>
      <c r="E16" s="3">
        <v>3397523.05914497</v>
      </c>
      <c r="F16" s="3">
        <v>3194431.1142369835</v>
      </c>
      <c r="G16" s="3">
        <v>3692013.700976314</v>
      </c>
      <c r="H16" s="3">
        <v>2570442.33092824</v>
      </c>
      <c r="I16" s="3">
        <v>3049886.2112174393</v>
      </c>
      <c r="J16" s="3">
        <v>2696276.9814327625</v>
      </c>
      <c r="K16" s="2"/>
      <c r="L16" s="3"/>
      <c r="N16" s="2"/>
      <c r="O16" s="3"/>
    </row>
    <row r="17" spans="1:15" x14ac:dyDescent="0.35">
      <c r="A17" s="2" t="s">
        <v>12</v>
      </c>
      <c r="B17" s="3">
        <v>132697168.2627705</v>
      </c>
      <c r="C17" s="3">
        <v>164158786.34277087</v>
      </c>
      <c r="D17" s="3">
        <v>150120394.15502673</v>
      </c>
      <c r="E17" s="3">
        <v>115743954.00088488</v>
      </c>
      <c r="F17" s="3">
        <v>127192762.16729179</v>
      </c>
      <c r="G17" s="3">
        <v>134202896.69206268</v>
      </c>
      <c r="H17" s="3">
        <v>132080590.94555575</v>
      </c>
      <c r="I17" s="3">
        <v>130707919.4246328</v>
      </c>
      <c r="J17" s="3">
        <v>126530990.28672364</v>
      </c>
      <c r="K17" s="2"/>
      <c r="L17" s="3"/>
      <c r="N17" s="2"/>
      <c r="O17" s="3"/>
    </row>
    <row r="18" spans="1:15" x14ac:dyDescent="0.35">
      <c r="A18" s="2" t="s">
        <v>18</v>
      </c>
      <c r="D18" s="3">
        <v>0</v>
      </c>
      <c r="F18" s="3">
        <v>4514369.389761542</v>
      </c>
      <c r="G18" s="3">
        <v>4478974.2243457939</v>
      </c>
      <c r="I18" s="3">
        <v>3389419.3434456917</v>
      </c>
      <c r="J18" s="3">
        <v>3310841.6463451181</v>
      </c>
      <c r="K18" s="2"/>
      <c r="L18" s="3"/>
      <c r="N18" s="2"/>
      <c r="O18" s="3"/>
    </row>
    <row r="19" spans="1:15" x14ac:dyDescent="0.35">
      <c r="A19" s="2" t="s">
        <v>13</v>
      </c>
      <c r="B19" s="3">
        <v>3218957.437824823</v>
      </c>
      <c r="E19" s="3">
        <v>1347078.0594540616</v>
      </c>
      <c r="H19" s="3">
        <v>898227.39399987471</v>
      </c>
      <c r="I19" s="3"/>
      <c r="K19" s="2"/>
      <c r="L19" s="3"/>
    </row>
    <row r="20" spans="1:15" x14ac:dyDescent="0.35">
      <c r="A20" s="2" t="s">
        <v>14</v>
      </c>
      <c r="B20" s="3">
        <v>2604850.6311503877</v>
      </c>
      <c r="E20" s="3">
        <v>1130591.9954926991</v>
      </c>
      <c r="H20" s="3">
        <v>1336831.4518390202</v>
      </c>
      <c r="I20" s="3"/>
    </row>
    <row r="21" spans="1:15" x14ac:dyDescent="0.35">
      <c r="A21" s="2" t="s">
        <v>15</v>
      </c>
      <c r="B21" s="3">
        <v>8406701.686349757</v>
      </c>
      <c r="E21" s="3">
        <v>1632523.3905515457</v>
      </c>
      <c r="H21" s="3">
        <v>1652730.9838923088</v>
      </c>
      <c r="I21" s="3"/>
    </row>
    <row r="22" spans="1:15" x14ac:dyDescent="0.35">
      <c r="B22" s="4">
        <f>SUM(B3:B6,B8:B21)</f>
        <v>2262623849.7391005</v>
      </c>
      <c r="C22" s="4">
        <f t="shared" ref="C22:J22" si="0">SUM(C3:C6,C8:C21)</f>
        <v>3004426890.2333183</v>
      </c>
      <c r="D22" s="4">
        <f t="shared" si="0"/>
        <v>2809059439.0759587</v>
      </c>
      <c r="E22" s="4">
        <f t="shared" si="0"/>
        <v>2066732542.3812752</v>
      </c>
      <c r="F22" s="4">
        <f t="shared" si="0"/>
        <v>2324143813.7870903</v>
      </c>
      <c r="G22" s="4">
        <f t="shared" si="0"/>
        <v>2411548499.2631822</v>
      </c>
      <c r="H22" s="4">
        <f t="shared" si="0"/>
        <v>2018761149.748745</v>
      </c>
      <c r="I22" s="4">
        <f t="shared" si="0"/>
        <v>2078553576.3050225</v>
      </c>
      <c r="J22" s="4">
        <f t="shared" si="0"/>
        <v>2028101339.1375144</v>
      </c>
    </row>
    <row r="24" spans="1:15" x14ac:dyDescent="0.35">
      <c r="A24" s="2" t="s">
        <v>19</v>
      </c>
      <c r="B24" s="14">
        <v>250</v>
      </c>
      <c r="C24">
        <v>1000</v>
      </c>
      <c r="D24">
        <v>1000</v>
      </c>
      <c r="E24" s="14">
        <v>250</v>
      </c>
      <c r="F24">
        <v>1000</v>
      </c>
      <c r="G24">
        <v>1000</v>
      </c>
      <c r="H24" s="14">
        <v>250</v>
      </c>
      <c r="I24">
        <v>1000</v>
      </c>
      <c r="J24">
        <v>1000</v>
      </c>
    </row>
    <row r="25" spans="1:15" x14ac:dyDescent="0.35">
      <c r="A25" s="2" t="s">
        <v>20</v>
      </c>
      <c r="B25" s="13">
        <v>0.1</v>
      </c>
      <c r="C25">
        <v>0.1</v>
      </c>
      <c r="D25">
        <v>0.1</v>
      </c>
      <c r="E25" s="13">
        <v>0.1</v>
      </c>
      <c r="F25">
        <v>0.1</v>
      </c>
      <c r="G25">
        <v>0.1</v>
      </c>
      <c r="H25" s="13">
        <v>0.1</v>
      </c>
      <c r="I25">
        <v>0.1</v>
      </c>
      <c r="J25">
        <v>0.1</v>
      </c>
    </row>
    <row r="27" spans="1:15" x14ac:dyDescent="0.35">
      <c r="B27" s="16">
        <v>1</v>
      </c>
      <c r="C27" s="17"/>
      <c r="D27" s="18"/>
      <c r="E27" s="16">
        <v>2</v>
      </c>
      <c r="F27" s="17"/>
      <c r="G27" s="18"/>
      <c r="H27" s="16">
        <v>3</v>
      </c>
      <c r="I27" s="17"/>
      <c r="J27" s="18"/>
    </row>
    <row r="28" spans="1:15" x14ac:dyDescent="0.35">
      <c r="B28" s="5">
        <v>1</v>
      </c>
      <c r="C28" s="1">
        <v>2</v>
      </c>
      <c r="D28" s="6">
        <v>3</v>
      </c>
      <c r="E28" s="5">
        <v>1</v>
      </c>
      <c r="F28" s="1">
        <v>2</v>
      </c>
      <c r="G28" s="6">
        <v>3</v>
      </c>
      <c r="H28" s="5">
        <v>1</v>
      </c>
      <c r="I28" s="1">
        <v>2</v>
      </c>
      <c r="J28" s="6">
        <v>3</v>
      </c>
    </row>
    <row r="29" spans="1:15" x14ac:dyDescent="0.35">
      <c r="A29" s="2" t="s">
        <v>0</v>
      </c>
      <c r="B29" s="7">
        <f>B3/B$22*100</f>
        <v>24.024778578505657</v>
      </c>
      <c r="C29" s="8">
        <f t="shared" ref="C29:J29" si="1">C3/C$22*100</f>
        <v>23.933852206716814</v>
      </c>
      <c r="D29" s="9">
        <f t="shared" si="1"/>
        <v>23.903345192190891</v>
      </c>
      <c r="E29" s="7">
        <f t="shared" si="1"/>
        <v>24.126278645324099</v>
      </c>
      <c r="F29" s="8">
        <f t="shared" si="1"/>
        <v>24.4404915542782</v>
      </c>
      <c r="G29" s="9">
        <f t="shared" si="1"/>
        <v>24.25426688339796</v>
      </c>
      <c r="H29" s="7">
        <f t="shared" si="1"/>
        <v>24.236368040283669</v>
      </c>
      <c r="I29" s="8">
        <f t="shared" si="1"/>
        <v>24.998966385215731</v>
      </c>
      <c r="J29" s="9">
        <f t="shared" si="1"/>
        <v>24.942963698123176</v>
      </c>
      <c r="L29" s="19">
        <f>AVERAGE(B29:J29)</f>
        <v>24.31792346489291</v>
      </c>
    </row>
    <row r="30" spans="1:15" x14ac:dyDescent="0.35">
      <c r="A30" s="2" t="s">
        <v>1</v>
      </c>
      <c r="B30" s="7">
        <f t="shared" ref="B30:J47" si="2">B4/B$22*100</f>
        <v>1.903414842297499</v>
      </c>
      <c r="C30" s="8">
        <f t="shared" si="2"/>
        <v>1.9003970509925145</v>
      </c>
      <c r="D30" s="9">
        <f t="shared" si="2"/>
        <v>1.6923676659399363</v>
      </c>
      <c r="E30" s="7">
        <f t="shared" si="2"/>
        <v>1.7833672319283556</v>
      </c>
      <c r="F30" s="8">
        <f t="shared" si="2"/>
        <v>1.8319346014986582</v>
      </c>
      <c r="G30" s="9">
        <f t="shared" si="2"/>
        <v>1.8190203604321591</v>
      </c>
      <c r="H30" s="7">
        <f t="shared" si="2"/>
        <v>1.8829359234675964</v>
      </c>
      <c r="I30" s="8">
        <f t="shared" si="2"/>
        <v>1.8036239180469309</v>
      </c>
      <c r="J30" s="9">
        <f t="shared" si="2"/>
        <v>1.7772259394533207</v>
      </c>
      <c r="L30" s="19">
        <f t="shared" ref="L30:L47" si="3">AVERAGE(B30:J30)</f>
        <v>1.8215875037841078</v>
      </c>
    </row>
    <row r="31" spans="1:15" x14ac:dyDescent="0.35">
      <c r="A31" s="2" t="s">
        <v>2</v>
      </c>
      <c r="B31" s="7">
        <f t="shared" si="2"/>
        <v>0.15268468820487305</v>
      </c>
      <c r="C31" s="8">
        <f t="shared" si="2"/>
        <v>0.15190271475799449</v>
      </c>
      <c r="D31" s="9">
        <f t="shared" si="2"/>
        <v>0.16253627020625991</v>
      </c>
      <c r="E31" s="7">
        <f t="shared" si="2"/>
        <v>0.16583700023414694</v>
      </c>
      <c r="F31" s="8">
        <f t="shared" si="2"/>
        <v>0.18509468684145799</v>
      </c>
      <c r="G31" s="9">
        <f t="shared" si="2"/>
        <v>0.15567912828926223</v>
      </c>
      <c r="H31" s="7">
        <f t="shared" si="2"/>
        <v>0.17405530667854763</v>
      </c>
      <c r="I31" s="8">
        <f t="shared" si="2"/>
        <v>0.17451991751183096</v>
      </c>
      <c r="J31" s="9">
        <f t="shared" si="2"/>
        <v>0.16092301255797486</v>
      </c>
      <c r="L31" s="19">
        <f t="shared" si="3"/>
        <v>0.16480363614248314</v>
      </c>
    </row>
    <row r="32" spans="1:15" x14ac:dyDescent="0.35">
      <c r="A32" s="2" t="s">
        <v>3</v>
      </c>
      <c r="B32" s="7">
        <f t="shared" si="2"/>
        <v>2.077877284101317E-2</v>
      </c>
      <c r="C32" s="8">
        <f t="shared" si="2"/>
        <v>1.5791248329564904E-2</v>
      </c>
      <c r="D32" s="9">
        <f t="shared" si="2"/>
        <v>1.1128290255042963E-2</v>
      </c>
      <c r="E32" s="7">
        <f t="shared" si="2"/>
        <v>1.1806976408008034E-2</v>
      </c>
      <c r="F32" s="8">
        <f t="shared" si="2"/>
        <v>1.3064933133722138E-2</v>
      </c>
      <c r="G32" s="9">
        <f t="shared" si="2"/>
        <v>1.447690680900442E-2</v>
      </c>
      <c r="H32" s="7">
        <f t="shared" si="2"/>
        <v>1.8005188367044178E-2</v>
      </c>
      <c r="I32" s="8">
        <f t="shared" si="2"/>
        <v>2.2555707647563858E-2</v>
      </c>
      <c r="J32" s="9">
        <f t="shared" si="2"/>
        <v>1.8757414990424309E-2</v>
      </c>
      <c r="L32" s="19">
        <f t="shared" si="3"/>
        <v>1.6262826531265331E-2</v>
      </c>
    </row>
    <row r="33" spans="1:12" x14ac:dyDescent="0.35">
      <c r="A33" s="2" t="s">
        <v>4</v>
      </c>
      <c r="B33" s="7">
        <f t="shared" si="2"/>
        <v>1.6691354960775424</v>
      </c>
      <c r="C33" s="8">
        <f t="shared" si="2"/>
        <v>5.5117996925627732</v>
      </c>
      <c r="D33" s="9">
        <f t="shared" si="2"/>
        <v>5.5869765113263581</v>
      </c>
      <c r="E33" s="7">
        <f t="shared" si="2"/>
        <v>1.8264179861312706</v>
      </c>
      <c r="F33" s="8">
        <f t="shared" si="2"/>
        <v>6.9318152878078836</v>
      </c>
      <c r="G33" s="9">
        <f t="shared" si="2"/>
        <v>6.8917548746493891</v>
      </c>
      <c r="H33" s="7">
        <f t="shared" si="2"/>
        <v>1.8711536605060537</v>
      </c>
      <c r="I33" s="8">
        <f t="shared" si="2"/>
        <v>6.9342548014685157</v>
      </c>
      <c r="J33" s="9">
        <f t="shared" si="2"/>
        <v>6.7734282803531292</v>
      </c>
      <c r="L33" s="19">
        <f t="shared" si="3"/>
        <v>4.8885262878758802</v>
      </c>
    </row>
    <row r="34" spans="1:12" x14ac:dyDescent="0.35">
      <c r="A34" s="2" t="s">
        <v>5</v>
      </c>
      <c r="B34" s="7">
        <f t="shared" si="2"/>
        <v>4.9089750708303344</v>
      </c>
      <c r="C34" s="8">
        <f t="shared" si="2"/>
        <v>5.1316530123485089</v>
      </c>
      <c r="D34" s="9">
        <f t="shared" si="2"/>
        <v>4.9545588846069011</v>
      </c>
      <c r="E34" s="7">
        <f t="shared" si="2"/>
        <v>5.6186922531697263</v>
      </c>
      <c r="F34" s="8">
        <f t="shared" si="2"/>
        <v>5.4562279444120776</v>
      </c>
      <c r="G34" s="9">
        <f t="shared" si="2"/>
        <v>5.5717439034778122</v>
      </c>
      <c r="H34" s="7">
        <f t="shared" si="2"/>
        <v>5.8589676639591115</v>
      </c>
      <c r="I34" s="8">
        <f t="shared" si="2"/>
        <v>5.6393910900827864</v>
      </c>
      <c r="J34" s="9">
        <f t="shared" si="2"/>
        <v>5.5629704872075862</v>
      </c>
      <c r="L34" s="19">
        <f t="shared" si="3"/>
        <v>5.4114644788994282</v>
      </c>
    </row>
    <row r="35" spans="1:12" x14ac:dyDescent="0.35">
      <c r="A35" s="2" t="s">
        <v>6</v>
      </c>
      <c r="B35" s="7">
        <f t="shared" si="2"/>
        <v>2.7926666278542358</v>
      </c>
      <c r="C35" s="8">
        <f t="shared" si="2"/>
        <v>2.75837554831589</v>
      </c>
      <c r="D35" s="9">
        <f t="shared" si="2"/>
        <v>2.839320171774582</v>
      </c>
      <c r="E35" s="7">
        <f t="shared" si="2"/>
        <v>2.7040752998865925</v>
      </c>
      <c r="F35" s="8">
        <f t="shared" si="2"/>
        <v>2.7094095537581051</v>
      </c>
      <c r="G35" s="9">
        <f t="shared" si="2"/>
        <v>2.7096470241121873</v>
      </c>
      <c r="H35" s="7">
        <f t="shared" si="2"/>
        <v>2.1858056278733256</v>
      </c>
      <c r="I35" s="8">
        <f t="shared" si="2"/>
        <v>2.1613420345542491</v>
      </c>
      <c r="J35" s="9">
        <f t="shared" si="2"/>
        <v>2.1938390080183008</v>
      </c>
      <c r="L35" s="19">
        <f t="shared" si="3"/>
        <v>2.5616089884608302</v>
      </c>
    </row>
    <row r="36" spans="1:12" x14ac:dyDescent="0.35">
      <c r="A36" s="2" t="s">
        <v>7</v>
      </c>
      <c r="B36" s="7">
        <f t="shared" si="2"/>
        <v>2.679634166590156</v>
      </c>
      <c r="C36" s="8">
        <f t="shared" si="2"/>
        <v>2.9621429140964741</v>
      </c>
      <c r="D36" s="9">
        <f t="shared" si="2"/>
        <v>2.8340715266166621</v>
      </c>
      <c r="E36" s="7">
        <f t="shared" si="2"/>
        <v>3.0132313527113217</v>
      </c>
      <c r="F36" s="8">
        <f t="shared" si="2"/>
        <v>2.9087670123713281</v>
      </c>
      <c r="G36" s="9">
        <f t="shared" si="2"/>
        <v>2.9634856877336588</v>
      </c>
      <c r="H36" s="7">
        <f t="shared" si="2"/>
        <v>3.5948103270726182</v>
      </c>
      <c r="I36" s="8">
        <f t="shared" si="2"/>
        <v>3.314863757563967</v>
      </c>
      <c r="J36" s="9">
        <f t="shared" si="2"/>
        <v>3.2305618862535885</v>
      </c>
      <c r="L36" s="19">
        <f t="shared" si="3"/>
        <v>3.055729847889975</v>
      </c>
    </row>
    <row r="37" spans="1:12" x14ac:dyDescent="0.35">
      <c r="A37" s="2" t="s">
        <v>8</v>
      </c>
      <c r="B37" s="7">
        <f t="shared" si="2"/>
        <v>31.224844127894468</v>
      </c>
      <c r="C37" s="8">
        <f t="shared" si="2"/>
        <v>31.233440705822169</v>
      </c>
      <c r="D37" s="9">
        <f t="shared" si="2"/>
        <v>31.602242559890598</v>
      </c>
      <c r="E37" s="7">
        <f t="shared" si="2"/>
        <v>29.125031811625956</v>
      </c>
      <c r="F37" s="8">
        <f t="shared" si="2"/>
        <v>29.190947386855125</v>
      </c>
      <c r="G37" s="9">
        <f t="shared" si="2"/>
        <v>29.166204497907156</v>
      </c>
      <c r="H37" s="7">
        <f t="shared" si="2"/>
        <v>26.756499657071554</v>
      </c>
      <c r="I37" s="8">
        <f t="shared" si="2"/>
        <v>26.906864018749655</v>
      </c>
      <c r="J37" s="9">
        <f t="shared" si="2"/>
        <v>27.054322554979539</v>
      </c>
      <c r="L37" s="19">
        <f t="shared" si="3"/>
        <v>29.14004414675513</v>
      </c>
    </row>
    <row r="38" spans="1:12" x14ac:dyDescent="0.35">
      <c r="A38" s="2" t="s">
        <v>9</v>
      </c>
      <c r="B38" s="7">
        <f t="shared" si="2"/>
        <v>0.78797550061138422</v>
      </c>
      <c r="C38" s="8">
        <f t="shared" si="2"/>
        <v>0.71852446005252624</v>
      </c>
      <c r="D38" s="9">
        <f t="shared" si="2"/>
        <v>0.77919343757822257</v>
      </c>
      <c r="E38" s="7">
        <f t="shared" si="2"/>
        <v>0.73942005705904434</v>
      </c>
      <c r="F38" s="8">
        <f t="shared" si="2"/>
        <v>0.83199523733093106</v>
      </c>
      <c r="G38" s="9">
        <f t="shared" si="2"/>
        <v>0.77394147703397898</v>
      </c>
      <c r="H38" s="7">
        <f t="shared" si="2"/>
        <v>0.73355731408602021</v>
      </c>
      <c r="I38" s="8">
        <f t="shared" si="2"/>
        <v>0.91328169808452231</v>
      </c>
      <c r="J38" s="9">
        <f t="shared" si="2"/>
        <v>0.8819484598920313</v>
      </c>
      <c r="L38" s="19">
        <f t="shared" si="3"/>
        <v>0.7955375157476291</v>
      </c>
    </row>
    <row r="39" spans="1:12" x14ac:dyDescent="0.35">
      <c r="A39" s="2" t="s">
        <v>10</v>
      </c>
      <c r="B39" s="7">
        <f t="shared" si="2"/>
        <v>24.727127679508349</v>
      </c>
      <c r="C39" s="8">
        <f t="shared" si="2"/>
        <v>25.444461981854126</v>
      </c>
      <c r="D39" s="9">
        <f t="shared" si="2"/>
        <v>25.573005841881535</v>
      </c>
      <c r="E39" s="7">
        <f t="shared" si="2"/>
        <v>26.748658955146105</v>
      </c>
      <c r="F39" s="8">
        <f t="shared" si="2"/>
        <v>26.533496113193017</v>
      </c>
      <c r="G39" s="9">
        <f t="shared" si="2"/>
        <v>26.579627766744991</v>
      </c>
      <c r="H39" s="7">
        <f t="shared" si="2"/>
        <v>27.69642861319323</v>
      </c>
      <c r="I39" s="8">
        <f t="shared" si="2"/>
        <v>27.379550391716485</v>
      </c>
      <c r="J39" s="9">
        <f t="shared" si="2"/>
        <v>27.547479450777839</v>
      </c>
      <c r="L39" s="19">
        <f t="shared" si="3"/>
        <v>26.469981866001742</v>
      </c>
    </row>
    <row r="40" spans="1:12" x14ac:dyDescent="0.35">
      <c r="A40" s="2" t="s">
        <v>16</v>
      </c>
      <c r="B40" s="7">
        <f t="shared" si="2"/>
        <v>0</v>
      </c>
      <c r="C40" s="8">
        <f t="shared" si="2"/>
        <v>8.2787361776097079E-2</v>
      </c>
      <c r="D40" s="9">
        <f t="shared" si="2"/>
        <v>6.0402329246724062E-2</v>
      </c>
      <c r="E40" s="7">
        <f t="shared" si="2"/>
        <v>0</v>
      </c>
      <c r="F40" s="8">
        <f t="shared" si="2"/>
        <v>7.1106729322284026E-2</v>
      </c>
      <c r="G40" s="9">
        <f t="shared" si="2"/>
        <v>6.1315536103882587E-2</v>
      </c>
      <c r="H40" s="7">
        <f t="shared" si="2"/>
        <v>0</v>
      </c>
      <c r="I40" s="8">
        <f t="shared" si="2"/>
        <v>5.6513849830041846E-2</v>
      </c>
      <c r="J40" s="9">
        <f t="shared" si="2"/>
        <v>6.656020826115655E-2</v>
      </c>
      <c r="L40" s="19">
        <f t="shared" si="3"/>
        <v>4.4298446060020674E-2</v>
      </c>
    </row>
    <row r="41" spans="1:12" x14ac:dyDescent="0.35">
      <c r="A41" s="2" t="s">
        <v>17</v>
      </c>
      <c r="B41" s="7">
        <f t="shared" si="2"/>
        <v>0</v>
      </c>
      <c r="C41" s="8">
        <f t="shared" si="2"/>
        <v>2.3721897676253312E-2</v>
      </c>
      <c r="D41" s="9">
        <f t="shared" si="2"/>
        <v>3.6572930625724483E-2</v>
      </c>
      <c r="E41" s="7">
        <f t="shared" si="2"/>
        <v>0</v>
      </c>
      <c r="F41" s="8">
        <f t="shared" si="2"/>
        <v>2.3109031504303528E-2</v>
      </c>
      <c r="G41" s="9">
        <f t="shared" si="2"/>
        <v>2.6754157831440362E-2</v>
      </c>
      <c r="H41" s="7">
        <f t="shared" si="2"/>
        <v>0</v>
      </c>
      <c r="I41" s="8">
        <f t="shared" si="2"/>
        <v>3.0322280075614685E-2</v>
      </c>
      <c r="J41" s="9">
        <f t="shared" si="2"/>
        <v>2.7364727729653184E-2</v>
      </c>
      <c r="L41" s="19">
        <f t="shared" si="3"/>
        <v>1.8649447271443284E-2</v>
      </c>
    </row>
    <row r="42" spans="1:12" x14ac:dyDescent="0.35">
      <c r="A42" s="2" t="s">
        <v>11</v>
      </c>
      <c r="B42" s="7">
        <f t="shared" si="2"/>
        <v>0.28343439323852193</v>
      </c>
      <c r="C42" s="8">
        <f t="shared" si="2"/>
        <v>0.17905204304194147</v>
      </c>
      <c r="D42" s="9">
        <f t="shared" si="2"/>
        <v>0.20710332778375806</v>
      </c>
      <c r="E42" s="7">
        <f t="shared" si="2"/>
        <v>0.16439103703425345</v>
      </c>
      <c r="F42" s="8">
        <f t="shared" si="2"/>
        <v>0.13744550123306692</v>
      </c>
      <c r="G42" s="9">
        <f t="shared" si="2"/>
        <v>0.15309721957092554</v>
      </c>
      <c r="H42" s="7">
        <f t="shared" si="2"/>
        <v>0.12732770943447952</v>
      </c>
      <c r="I42" s="8">
        <f t="shared" si="2"/>
        <v>0.14673118104750149</v>
      </c>
      <c r="J42" s="9">
        <f t="shared" si="2"/>
        <v>0.13294587057367663</v>
      </c>
      <c r="L42" s="19">
        <f t="shared" si="3"/>
        <v>0.17016980921756941</v>
      </c>
    </row>
    <row r="43" spans="1:12" x14ac:dyDescent="0.35">
      <c r="A43" s="2" t="s">
        <v>12</v>
      </c>
      <c r="B43" s="7">
        <f t="shared" si="2"/>
        <v>5.8647471729811214</v>
      </c>
      <c r="C43" s="8">
        <f t="shared" si="2"/>
        <v>5.4638968542190955</v>
      </c>
      <c r="D43" s="9">
        <f t="shared" si="2"/>
        <v>5.3441515714031631</v>
      </c>
      <c r="E43" s="7">
        <f t="shared" si="2"/>
        <v>5.6003353906415718</v>
      </c>
      <c r="F43" s="8">
        <f t="shared" si="2"/>
        <v>5.472671760360508</v>
      </c>
      <c r="G43" s="9">
        <f t="shared" si="2"/>
        <v>5.5650092350648004</v>
      </c>
      <c r="H43" s="7">
        <f t="shared" si="2"/>
        <v>6.5426556758333936</v>
      </c>
      <c r="I43" s="8">
        <f t="shared" si="2"/>
        <v>6.2884075212046282</v>
      </c>
      <c r="J43" s="9">
        <f t="shared" si="2"/>
        <v>6.2388889472620317</v>
      </c>
      <c r="L43" s="19">
        <f t="shared" si="3"/>
        <v>5.8200849032189232</v>
      </c>
    </row>
    <row r="44" spans="1:12" x14ac:dyDescent="0.35">
      <c r="A44" s="2" t="s">
        <v>18</v>
      </c>
      <c r="B44" s="7">
        <f t="shared" si="2"/>
        <v>0</v>
      </c>
      <c r="C44" s="8">
        <f t="shared" si="2"/>
        <v>0</v>
      </c>
      <c r="D44" s="9">
        <f t="shared" si="2"/>
        <v>0</v>
      </c>
      <c r="E44" s="7">
        <f t="shared" si="2"/>
        <v>0</v>
      </c>
      <c r="F44" s="8">
        <f t="shared" si="2"/>
        <v>0.19423795390723156</v>
      </c>
      <c r="G44" s="9">
        <f t="shared" si="2"/>
        <v>0.18573021549076402</v>
      </c>
      <c r="H44" s="7">
        <f t="shared" si="2"/>
        <v>0</v>
      </c>
      <c r="I44" s="8">
        <f t="shared" si="2"/>
        <v>0.16306624866850691</v>
      </c>
      <c r="J44" s="9">
        <f t="shared" si="2"/>
        <v>0.16324833391970006</v>
      </c>
      <c r="L44" s="19">
        <f t="shared" si="3"/>
        <v>7.847586133180029E-2</v>
      </c>
    </row>
    <row r="45" spans="1:12" x14ac:dyDescent="0.35">
      <c r="A45" s="2" t="s">
        <v>13</v>
      </c>
      <c r="B45" s="7">
        <f t="shared" si="2"/>
        <v>0.14226657418978395</v>
      </c>
      <c r="C45" s="8">
        <f t="shared" si="2"/>
        <v>0</v>
      </c>
      <c r="D45" s="9">
        <f t="shared" si="2"/>
        <v>0</v>
      </c>
      <c r="E45" s="7">
        <f t="shared" si="2"/>
        <v>6.5179118818246673E-2</v>
      </c>
      <c r="F45" s="8">
        <f t="shared" si="2"/>
        <v>0</v>
      </c>
      <c r="G45" s="9">
        <f t="shared" si="2"/>
        <v>0</v>
      </c>
      <c r="H45" s="7">
        <f t="shared" si="2"/>
        <v>4.4493990490735769E-2</v>
      </c>
      <c r="I45" s="8">
        <f t="shared" si="2"/>
        <v>0</v>
      </c>
      <c r="J45" s="9">
        <f t="shared" si="2"/>
        <v>0</v>
      </c>
      <c r="L45" s="19">
        <f t="shared" si="3"/>
        <v>2.7993298166529599E-2</v>
      </c>
    </row>
    <row r="46" spans="1:12" x14ac:dyDescent="0.35">
      <c r="A46" s="2" t="s">
        <v>14</v>
      </c>
      <c r="B46" s="7">
        <f t="shared" si="2"/>
        <v>0.11512521762955645</v>
      </c>
      <c r="C46" s="8">
        <f t="shared" si="2"/>
        <v>0</v>
      </c>
      <c r="D46" s="9">
        <f t="shared" si="2"/>
        <v>0</v>
      </c>
      <c r="E46" s="7">
        <f t="shared" si="2"/>
        <v>5.4704320578899804E-2</v>
      </c>
      <c r="F46" s="8">
        <f t="shared" si="2"/>
        <v>0</v>
      </c>
      <c r="G46" s="9">
        <f t="shared" si="2"/>
        <v>0</v>
      </c>
      <c r="H46" s="7">
        <f t="shared" si="2"/>
        <v>6.6220387290760088E-2</v>
      </c>
      <c r="I46" s="8">
        <f t="shared" si="2"/>
        <v>0</v>
      </c>
      <c r="J46" s="9">
        <f t="shared" si="2"/>
        <v>0</v>
      </c>
      <c r="L46" s="19">
        <f t="shared" si="3"/>
        <v>2.6227769499912925E-2</v>
      </c>
    </row>
    <row r="47" spans="1:12" x14ac:dyDescent="0.35">
      <c r="A47" s="2" t="s">
        <v>15</v>
      </c>
      <c r="B47" s="10">
        <f t="shared" si="2"/>
        <v>0.37154658682304265</v>
      </c>
      <c r="C47" s="11">
        <f t="shared" si="2"/>
        <v>0</v>
      </c>
      <c r="D47" s="12">
        <f t="shared" si="2"/>
        <v>0</v>
      </c>
      <c r="E47" s="10">
        <f t="shared" si="2"/>
        <v>7.8990549433675783E-2</v>
      </c>
      <c r="F47" s="11">
        <f t="shared" si="2"/>
        <v>0</v>
      </c>
      <c r="G47" s="12">
        <f t="shared" si="2"/>
        <v>0</v>
      </c>
      <c r="H47" s="10">
        <f t="shared" si="2"/>
        <v>8.186857489792726E-2</v>
      </c>
      <c r="I47" s="11">
        <f t="shared" si="2"/>
        <v>0</v>
      </c>
      <c r="J47" s="12">
        <f t="shared" si="2"/>
        <v>0</v>
      </c>
      <c r="L47" s="19">
        <f t="shared" si="3"/>
        <v>5.9156190128293956E-2</v>
      </c>
    </row>
  </sheetData>
  <mergeCells count="6">
    <mergeCell ref="B1:D1"/>
    <mergeCell ref="E1:G1"/>
    <mergeCell ref="H1:J1"/>
    <mergeCell ref="B27:D27"/>
    <mergeCell ref="E27:G27"/>
    <mergeCell ref="H27:J2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2026-09-14T11:47:32Z</dcterms:modified>
</cp:coreProperties>
</file>