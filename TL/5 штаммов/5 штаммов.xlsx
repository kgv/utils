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SMS\2026\5 штаммв\"/>
    </mc:Choice>
  </mc:AlternateContent>
  <xr:revisionPtr revIDLastSave="0" documentId="13_ncr:1_{742B988B-AE86-4B6D-8392-FDF320883892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1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B17" i="1"/>
</calcChain>
</file>

<file path=xl/sharedStrings.xml><?xml version="1.0" encoding="utf-8"?>
<sst xmlns="http://schemas.openxmlformats.org/spreadsheetml/2006/main" count="99" uniqueCount="41">
  <si>
    <t>H-150</t>
  </si>
  <si>
    <t>Methyl tetradecanoate</t>
  </si>
  <si>
    <t>Hexadecanoic acid, methyl ester</t>
  </si>
  <si>
    <t>7-Hexadecenoic acid, methyl ester, (Z)-</t>
  </si>
  <si>
    <t>9-Hexadecenoic acid, methyl ester, (Z)-</t>
  </si>
  <si>
    <t>Heptadecanoic acid, methyl ester</t>
  </si>
  <si>
    <t>7,10-Hexadecadienoic acid, methyl ester</t>
  </si>
  <si>
    <t>9,12-Hexadecadienoic acid, methyl ester</t>
  </si>
  <si>
    <t>Methyl stearate</t>
  </si>
  <si>
    <t>Methyl 6,9,12-hexadecatrienoate</t>
  </si>
  <si>
    <t>9-Octadecenoic acid, methyl ester</t>
  </si>
  <si>
    <t>11-Octadecenoic acid, methyl ester</t>
  </si>
  <si>
    <t>9,12-Octadecadienoic acid, methyl ester</t>
  </si>
  <si>
    <t>Methyl γ-linolenate</t>
  </si>
  <si>
    <t>8,11,14-Eicosatrienoic acid, methyl ester, (Z,Z,Z)-</t>
  </si>
  <si>
    <t>5,8,11,14-Eicosatetraenoic acid, methyl ester, (all-Z)-</t>
  </si>
  <si>
    <t>5,8,11,14,17-Eicosapentaenoic acid, methyl ester, (all-Z)-</t>
  </si>
  <si>
    <t>7,10,13-Hexadecatrienoic acid, methyl ester</t>
  </si>
  <si>
    <t>9-Octadecenoic acid (Z)-, methyl ester</t>
  </si>
  <si>
    <t>9,12-Octadecadienoic acid (Z,Z)-, methyl ester</t>
  </si>
  <si>
    <t>9,12,15-Octadecatrienoic acid, methyl ester, (Z,Z,Z)-</t>
  </si>
  <si>
    <t>11-Eicosenoic acid, methyl ester</t>
  </si>
  <si>
    <t>11,14-Eicosadienoic acid, methyl ester</t>
  </si>
  <si>
    <t>C-1540</t>
  </si>
  <si>
    <t>C-70</t>
  </si>
  <si>
    <t>H-242</t>
  </si>
  <si>
    <t>C-1210</t>
  </si>
  <si>
    <t>(Z)-Methyl hexadec-11-enoate</t>
  </si>
  <si>
    <t>10-Nonadecenoic acid, methyl ester</t>
  </si>
  <si>
    <t>Eicosanoic acid, methyl ester</t>
  </si>
  <si>
    <t>Docosanoic acid, methyl ester</t>
  </si>
  <si>
    <t>Tricosanoic acid, methyl ester</t>
  </si>
  <si>
    <t>Tetracosanoic acid, methyl ester</t>
  </si>
  <si>
    <t xml:space="preserve"> 6,9,12,15-octadecatetraenoate</t>
  </si>
  <si>
    <t>cis-11,14-Eicosadienoic acid, methyl ester</t>
  </si>
  <si>
    <t>13-Docosenoic acid, methyl ester, (Z)-</t>
  </si>
  <si>
    <t>ω-3 Arachidonic Acid methyl ester</t>
  </si>
  <si>
    <t>Methyl hexadec-9-enoate</t>
  </si>
  <si>
    <t>cis-Methyl 11-eicosenoate</t>
  </si>
  <si>
    <t>(6Z,9Z,12Z,15Z)-Methyl octadeca-6,9,12,15-tetraenoate</t>
  </si>
  <si>
    <t>8,11-Eicosadienoic acid, methyl 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</si>
</sst>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167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I29" sqref="I29"/>
    </sheetView>
  </sheetViews>
  <sheetFormatPr defaultRowHeight="14.5" x14ac:dyDescent="0.35"/>
  <cols>
    <col min="2" max="2" width="12.26953125" bestFit="1" customWidth="1"/>
    <col min="5" max="5" width="13.36328125" bestFit="1" customWidth="1"/>
  </cols>
  <sheetData>
    <row r="1" spans="1:15" x14ac:dyDescent="0.35">
      <c r="A1" s="1" t="s">
        <v>0</v>
      </c>
      <c r="B1" s="1"/>
      <c r="C1" s="1"/>
      <c r="D1" s="1" t="s">
        <v>23</v>
      </c>
      <c r="E1" s="1"/>
      <c r="F1" s="1"/>
      <c r="G1" s="1" t="s">
        <v>24</v>
      </c>
      <c r="H1" s="1"/>
      <c r="I1" s="1"/>
      <c r="J1" s="1" t="s">
        <v>25</v>
      </c>
      <c r="K1" s="1"/>
      <c r="L1" s="1"/>
      <c r="M1" s="1" t="s">
        <v>26</v>
      </c>
      <c r="N1" s="1"/>
      <c r="O1" s="1"/>
    </row>
    <row r="2" spans="1:15" x14ac:dyDescent="0.35">
      <c r="A2" s="2" t="s">
        <v>1</v>
      </c>
      <c r="B2" s="3">
        <v>3016192.5804879256</v>
      </c>
      <c r="C2" s="5">
        <f>B2/B$17*100</f>
        <v>3.573993721151675</v>
      </c>
      <c r="D2" s="2" t="s">
        <v>1</v>
      </c>
      <c r="E2" s="3">
        <v>29993.598293253468</v>
      </c>
      <c r="F2" s="5">
        <f>E2/E$19*100</f>
        <v>1.674005339070116E-2</v>
      </c>
      <c r="G2" s="2" t="s">
        <v>1</v>
      </c>
      <c r="H2" s="5">
        <v>2.9114606297654446</v>
      </c>
      <c r="J2" s="2" t="s">
        <v>1</v>
      </c>
      <c r="K2">
        <v>4.2577277723472831</v>
      </c>
      <c r="M2" s="2" t="s">
        <v>2</v>
      </c>
      <c r="N2" s="5">
        <v>24.31792346489291</v>
      </c>
    </row>
    <row r="3" spans="1:15" x14ac:dyDescent="0.35">
      <c r="A3" s="2" t="s">
        <v>2</v>
      </c>
      <c r="B3" s="3">
        <v>18778537.706778105</v>
      </c>
      <c r="C3" s="5">
        <f t="shared" ref="C3:C16" si="0">B3/B$17*100</f>
        <v>22.251356326053262</v>
      </c>
      <c r="D3" s="2" t="s">
        <v>2</v>
      </c>
      <c r="E3" s="3">
        <v>18945300.406690184</v>
      </c>
      <c r="F3" s="5">
        <f t="shared" ref="F3:F18" si="1">E3/E$19*100</f>
        <v>10.573767682359151</v>
      </c>
      <c r="G3" s="2" t="s">
        <v>2</v>
      </c>
      <c r="H3" s="5">
        <v>24.326700700154117</v>
      </c>
      <c r="J3" s="2" t="s">
        <v>2</v>
      </c>
      <c r="K3">
        <v>23.138564220314436</v>
      </c>
      <c r="M3" s="2" t="s">
        <v>3</v>
      </c>
      <c r="N3" s="5">
        <v>1.8215875037841078</v>
      </c>
    </row>
    <row r="4" spans="1:15" x14ac:dyDescent="0.35">
      <c r="A4" s="2" t="s">
        <v>3</v>
      </c>
      <c r="B4" s="3">
        <v>36942684.177189529</v>
      </c>
      <c r="C4" s="5">
        <f t="shared" si="0"/>
        <v>43.77469865349444</v>
      </c>
      <c r="D4" s="2" t="s">
        <v>3</v>
      </c>
      <c r="E4" s="3">
        <v>162380.8318970004</v>
      </c>
      <c r="F4" s="5">
        <f t="shared" si="1"/>
        <v>9.0628132343616885E-2</v>
      </c>
      <c r="G4" s="2" t="s">
        <v>4</v>
      </c>
      <c r="H4" s="5">
        <v>33.801272893590408</v>
      </c>
      <c r="J4" s="2" t="s">
        <v>37</v>
      </c>
      <c r="K4">
        <v>40.749219354418038</v>
      </c>
      <c r="M4" s="2" t="s">
        <v>4</v>
      </c>
      <c r="N4" s="5">
        <v>0.16480363614248314</v>
      </c>
    </row>
    <row r="5" spans="1:15" x14ac:dyDescent="0.35">
      <c r="A5" s="2" t="s">
        <v>4</v>
      </c>
      <c r="B5" s="3">
        <v>2187307.1668251813</v>
      </c>
      <c r="C5" s="5">
        <f t="shared" si="0"/>
        <v>2.5918179532152563</v>
      </c>
      <c r="D5" s="2" t="s">
        <v>4</v>
      </c>
      <c r="E5" s="3">
        <v>90795.929600571646</v>
      </c>
      <c r="F5" s="5">
        <f t="shared" si="1"/>
        <v>5.0675103877542912E-2</v>
      </c>
      <c r="G5" s="2" t="s">
        <v>27</v>
      </c>
      <c r="H5" s="5">
        <v>0.11398411164507077</v>
      </c>
      <c r="J5" s="2" t="s">
        <v>27</v>
      </c>
      <c r="K5">
        <v>0.23262838505865302</v>
      </c>
      <c r="M5" s="2" t="s">
        <v>27</v>
      </c>
      <c r="N5" s="5">
        <v>1.6262826531265331E-2</v>
      </c>
    </row>
    <row r="6" spans="1:15" x14ac:dyDescent="0.35">
      <c r="A6" s="2" t="s">
        <v>6</v>
      </c>
      <c r="B6" s="3">
        <v>1167580.2431944946</v>
      </c>
      <c r="C6" s="5">
        <f t="shared" si="0"/>
        <v>1.3835073015937267</v>
      </c>
      <c r="D6" s="2" t="s">
        <v>6</v>
      </c>
      <c r="E6" s="3">
        <v>2405820.3861347698</v>
      </c>
      <c r="F6" s="5">
        <f t="shared" si="1"/>
        <v>1.3427385843662563</v>
      </c>
      <c r="G6" s="2" t="s">
        <v>5</v>
      </c>
      <c r="H6" s="5">
        <v>10.270580511643701</v>
      </c>
      <c r="J6" s="2" t="s">
        <v>5</v>
      </c>
      <c r="K6">
        <v>4.6558511811035768</v>
      </c>
      <c r="M6" s="2" t="s">
        <v>6</v>
      </c>
      <c r="N6" s="5">
        <v>5.4114644788994282</v>
      </c>
    </row>
    <row r="7" spans="1:15" x14ac:dyDescent="0.35">
      <c r="A7" s="2" t="s">
        <v>7</v>
      </c>
      <c r="B7" s="3">
        <v>1464697.0327324187</v>
      </c>
      <c r="C7" s="5">
        <f t="shared" si="0"/>
        <v>1.7355715388466091</v>
      </c>
      <c r="D7" s="2" t="s">
        <v>8</v>
      </c>
      <c r="E7" s="3">
        <v>622208.06707817689</v>
      </c>
      <c r="F7" s="5">
        <f t="shared" si="1"/>
        <v>0.3472673122169706</v>
      </c>
      <c r="G7" s="2" t="s">
        <v>6</v>
      </c>
      <c r="H7" s="5">
        <v>0.19098203991136053</v>
      </c>
      <c r="J7" s="2" t="s">
        <v>6</v>
      </c>
      <c r="K7">
        <v>0.10170137089491665</v>
      </c>
      <c r="M7" s="2" t="s">
        <v>8</v>
      </c>
      <c r="N7" s="5">
        <v>2.5616089884608302</v>
      </c>
    </row>
    <row r="8" spans="1:15" x14ac:dyDescent="0.35">
      <c r="A8" s="2" t="s">
        <v>8</v>
      </c>
      <c r="B8" s="3">
        <v>680507.43204614078</v>
      </c>
      <c r="C8" s="5">
        <f t="shared" si="0"/>
        <v>0.80635742726232507</v>
      </c>
      <c r="D8" s="2" t="s">
        <v>17</v>
      </c>
      <c r="E8" s="3">
        <v>2002533.8032069397</v>
      </c>
      <c r="F8" s="5">
        <f t="shared" si="1"/>
        <v>1.117655922927671</v>
      </c>
      <c r="G8" s="2" t="s">
        <v>8</v>
      </c>
      <c r="H8" s="5">
        <v>0.76177056904316665</v>
      </c>
      <c r="J8" s="2" t="s">
        <v>8</v>
      </c>
      <c r="K8">
        <v>0.55348696166453815</v>
      </c>
      <c r="M8" s="2" t="s">
        <v>17</v>
      </c>
      <c r="N8" s="5">
        <v>3.055729847889975</v>
      </c>
    </row>
    <row r="9" spans="1:15" x14ac:dyDescent="0.35">
      <c r="A9" s="2" t="s">
        <v>9</v>
      </c>
      <c r="B9" s="3">
        <v>1928288.2032822918</v>
      </c>
      <c r="C9" s="5">
        <f t="shared" si="0"/>
        <v>2.2848971831854632</v>
      </c>
      <c r="D9" s="2" t="s">
        <v>18</v>
      </c>
      <c r="E9" s="3">
        <v>22049083.236401085</v>
      </c>
      <c r="F9" s="5">
        <f t="shared" si="1"/>
        <v>12.306053678007393</v>
      </c>
      <c r="G9" s="2" t="s">
        <v>18</v>
      </c>
      <c r="H9" s="5">
        <v>7.1459029210570151</v>
      </c>
      <c r="J9" s="2" t="s">
        <v>18</v>
      </c>
      <c r="K9">
        <v>11.138009239305724</v>
      </c>
      <c r="M9" s="2" t="s">
        <v>18</v>
      </c>
      <c r="N9" s="5">
        <v>29.14004414675513</v>
      </c>
    </row>
    <row r="10" spans="1:15" x14ac:dyDescent="0.35">
      <c r="A10" s="2" t="s">
        <v>10</v>
      </c>
      <c r="B10" s="3">
        <v>344705.67971285613</v>
      </c>
      <c r="C10" s="5">
        <f t="shared" si="0"/>
        <v>0.40845400353705957</v>
      </c>
      <c r="D10" s="2" t="s">
        <v>11</v>
      </c>
      <c r="E10" s="3">
        <v>3719919.7873967122</v>
      </c>
      <c r="F10" s="5">
        <f t="shared" si="1"/>
        <v>2.0761648949653893</v>
      </c>
      <c r="G10" s="2" t="s">
        <v>11</v>
      </c>
      <c r="H10" s="5">
        <v>0.67094996231697657</v>
      </c>
      <c r="J10" s="2" t="s">
        <v>11</v>
      </c>
      <c r="K10">
        <v>0.67017207662485723</v>
      </c>
      <c r="M10" s="2" t="s">
        <v>11</v>
      </c>
      <c r="N10" s="5">
        <v>0.7955375157476291</v>
      </c>
    </row>
    <row r="11" spans="1:15" x14ac:dyDescent="0.35">
      <c r="A11" s="2" t="s">
        <v>11</v>
      </c>
      <c r="B11" s="3">
        <v>315209.85937762697</v>
      </c>
      <c r="C11" s="5">
        <f t="shared" si="0"/>
        <v>0.37350335835601695</v>
      </c>
      <c r="D11" s="2" t="s">
        <v>19</v>
      </c>
      <c r="E11" s="3">
        <v>20070465.072326414</v>
      </c>
      <c r="F11" s="5">
        <f t="shared" si="1"/>
        <v>11.201745572571728</v>
      </c>
      <c r="G11" s="2" t="s">
        <v>19</v>
      </c>
      <c r="H11" s="5">
        <v>5.7270544235333203</v>
      </c>
      <c r="J11" s="2" t="s">
        <v>19</v>
      </c>
      <c r="K11">
        <v>3.0787294192971011</v>
      </c>
      <c r="M11" s="2" t="s">
        <v>19</v>
      </c>
      <c r="N11" s="5">
        <v>26.469981866001742</v>
      </c>
    </row>
    <row r="12" spans="1:15" x14ac:dyDescent="0.35">
      <c r="A12" s="2" t="s">
        <v>12</v>
      </c>
      <c r="B12" s="3">
        <v>639255.48122202186</v>
      </c>
      <c r="C12" s="5">
        <f t="shared" si="0"/>
        <v>0.75747652549748878</v>
      </c>
      <c r="D12" s="2" t="s">
        <v>13</v>
      </c>
      <c r="E12" s="3">
        <v>948599.52374611597</v>
      </c>
      <c r="F12" s="5">
        <f t="shared" si="1"/>
        <v>0.5294331983327093</v>
      </c>
      <c r="G12" s="2" t="s">
        <v>13</v>
      </c>
      <c r="H12" s="5">
        <v>0.32966577347034048</v>
      </c>
      <c r="J12" s="2" t="s">
        <v>13</v>
      </c>
      <c r="K12">
        <v>0.28163177500557485</v>
      </c>
      <c r="M12" s="2" t="s">
        <v>28</v>
      </c>
      <c r="N12" s="5">
        <v>4.4298446060020674E-2</v>
      </c>
    </row>
    <row r="13" spans="1:15" x14ac:dyDescent="0.35">
      <c r="A13" s="2" t="s">
        <v>13</v>
      </c>
      <c r="B13" s="3">
        <v>110166.81391230554</v>
      </c>
      <c r="C13" s="5">
        <f t="shared" si="0"/>
        <v>0.13054057083389911</v>
      </c>
      <c r="D13" s="2" t="s">
        <v>20</v>
      </c>
      <c r="E13" s="3">
        <v>7899084.0592895765</v>
      </c>
      <c r="F13" s="5">
        <f t="shared" si="1"/>
        <v>4.4086437244806005</v>
      </c>
      <c r="G13" s="2" t="s">
        <v>29</v>
      </c>
      <c r="H13" s="5">
        <v>7.1061083658904678E-2</v>
      </c>
      <c r="J13" s="2" t="s">
        <v>29</v>
      </c>
      <c r="K13">
        <v>1.4592621416132857E-2</v>
      </c>
      <c r="M13" s="2" t="s">
        <v>13</v>
      </c>
      <c r="N13" s="5">
        <v>1.8649447271443284E-2</v>
      </c>
    </row>
    <row r="14" spans="1:15" x14ac:dyDescent="0.35">
      <c r="A14" s="2" t="s">
        <v>14</v>
      </c>
      <c r="B14" s="3">
        <v>200282.32618606693</v>
      </c>
      <c r="C14" s="5">
        <f t="shared" si="0"/>
        <v>0.23732164215152984</v>
      </c>
      <c r="D14" s="2" t="s">
        <v>21</v>
      </c>
      <c r="E14" s="3">
        <v>474584.27054889861</v>
      </c>
      <c r="F14" s="5">
        <f t="shared" si="1"/>
        <v>0.26487538939809424</v>
      </c>
      <c r="G14" s="2" t="s">
        <v>20</v>
      </c>
      <c r="H14" s="5">
        <v>0.53540085105489765</v>
      </c>
      <c r="J14" s="2" t="s">
        <v>20</v>
      </c>
      <c r="K14">
        <v>0.23253490059869134</v>
      </c>
      <c r="M14" s="2" t="s">
        <v>29</v>
      </c>
      <c r="N14" s="5">
        <v>0.17016980921756941</v>
      </c>
    </row>
    <row r="15" spans="1:15" x14ac:dyDescent="0.35">
      <c r="A15" s="2" t="s">
        <v>15</v>
      </c>
      <c r="B15" s="3">
        <v>4694796.3151370911</v>
      </c>
      <c r="C15" s="5">
        <f t="shared" si="0"/>
        <v>5.5630309088790471</v>
      </c>
      <c r="D15" s="2" t="s">
        <v>22</v>
      </c>
      <c r="E15" s="3">
        <v>453621.4117055253</v>
      </c>
      <c r="F15" s="5">
        <f t="shared" si="1"/>
        <v>0.25317558023119163</v>
      </c>
      <c r="G15" s="2" t="s">
        <v>21</v>
      </c>
      <c r="H15" s="5">
        <v>3.7915174512243723E-2</v>
      </c>
      <c r="J15" s="2" t="s">
        <v>38</v>
      </c>
      <c r="K15">
        <v>1.6347686890002898E-2</v>
      </c>
      <c r="M15" s="2" t="s">
        <v>20</v>
      </c>
      <c r="N15" s="5">
        <v>5.8200849032189232</v>
      </c>
    </row>
    <row r="16" spans="1:15" x14ac:dyDescent="0.35">
      <c r="A16" s="2" t="s">
        <v>16</v>
      </c>
      <c r="B16" s="3">
        <v>11922566.804592008</v>
      </c>
      <c r="C16" s="5">
        <f t="shared" si="0"/>
        <v>14.127472885942204</v>
      </c>
      <c r="D16" s="2" t="s">
        <v>14</v>
      </c>
      <c r="E16" s="3">
        <v>1529074.6821637577</v>
      </c>
      <c r="F16" s="5">
        <f t="shared" si="1"/>
        <v>0.85340850295872162</v>
      </c>
      <c r="G16" s="2" t="s">
        <v>33</v>
      </c>
      <c r="H16" s="5">
        <v>6.4657966019533344E-2</v>
      </c>
      <c r="J16" s="2" t="s">
        <v>39</v>
      </c>
      <c r="K16">
        <v>2.8783629058401001E-2</v>
      </c>
      <c r="M16" s="2" t="s">
        <v>21</v>
      </c>
      <c r="N16" s="5">
        <v>7.847586133180029E-2</v>
      </c>
    </row>
    <row r="17" spans="2:14" x14ac:dyDescent="0.35">
      <c r="B17" s="4">
        <f>SUM(B2:B16)</f>
        <v>84392777.822676063</v>
      </c>
      <c r="D17" s="2" t="s">
        <v>15</v>
      </c>
      <c r="E17" s="3">
        <v>95648808.655393362</v>
      </c>
      <c r="F17" s="5">
        <f t="shared" si="1"/>
        <v>53.383596992708881</v>
      </c>
      <c r="G17" s="2" t="s">
        <v>34</v>
      </c>
      <c r="H17" s="5">
        <v>9.3250029737491677E-2</v>
      </c>
      <c r="J17" s="2" t="s">
        <v>40</v>
      </c>
      <c r="K17">
        <v>1.7847164806809923E-2</v>
      </c>
      <c r="M17" s="2" t="s">
        <v>30</v>
      </c>
      <c r="N17" s="5">
        <v>2.7993298166529599E-2</v>
      </c>
    </row>
    <row r="18" spans="2:14" x14ac:dyDescent="0.35">
      <c r="D18" s="2" t="s">
        <v>16</v>
      </c>
      <c r="E18" s="3">
        <v>2120382.3815690721</v>
      </c>
      <c r="F18" s="5">
        <f t="shared" si="1"/>
        <v>1.1834296748633988</v>
      </c>
      <c r="G18" s="2" t="s">
        <v>14</v>
      </c>
      <c r="H18" s="5">
        <v>1.6980170600713851</v>
      </c>
      <c r="J18" s="2" t="s">
        <v>14</v>
      </c>
      <c r="K18">
        <v>0.83463515140336642</v>
      </c>
      <c r="M18" s="2" t="s">
        <v>31</v>
      </c>
      <c r="N18" s="5">
        <v>2.6227769499912925E-2</v>
      </c>
    </row>
    <row r="19" spans="2:14" x14ac:dyDescent="0.35">
      <c r="E19" s="4">
        <f>SUM(E2:E18)</f>
        <v>179172656.10344139</v>
      </c>
      <c r="G19" s="2" t="s">
        <v>30</v>
      </c>
      <c r="H19" s="5">
        <v>8.6942651746090727E-2</v>
      </c>
      <c r="J19" s="2" t="s">
        <v>30</v>
      </c>
      <c r="K19">
        <v>8.5738710231269572E-3</v>
      </c>
      <c r="M19" s="2" t="s">
        <v>32</v>
      </c>
      <c r="N19" s="5">
        <v>5.9156190128293956E-2</v>
      </c>
    </row>
    <row r="20" spans="2:14" x14ac:dyDescent="0.35">
      <c r="G20" s="2" t="s">
        <v>15</v>
      </c>
      <c r="H20" s="5">
        <v>6.0708587064252582</v>
      </c>
      <c r="J20" s="2" t="s">
        <v>15</v>
      </c>
      <c r="K20">
        <v>3.6447278187237777</v>
      </c>
    </row>
    <row r="21" spans="2:14" x14ac:dyDescent="0.35">
      <c r="G21" s="2" t="s">
        <v>35</v>
      </c>
      <c r="H21" s="5">
        <v>0.46314927788210092</v>
      </c>
      <c r="J21" s="2" t="s">
        <v>36</v>
      </c>
      <c r="K21">
        <v>0.11892592793321051</v>
      </c>
    </row>
    <row r="22" spans="2:14" x14ac:dyDescent="0.35">
      <c r="G22" s="2" t="s">
        <v>36</v>
      </c>
      <c r="H22" s="5">
        <v>0.24513066451621712</v>
      </c>
      <c r="J22" s="2" t="s">
        <v>16</v>
      </c>
      <c r="K22">
        <v>10.854990361977945</v>
      </c>
    </row>
    <row r="23" spans="2:14" x14ac:dyDescent="0.35">
      <c r="G23" s="2" t="s">
        <v>16</v>
      </c>
      <c r="H23" s="5">
        <v>14.571985156119306</v>
      </c>
    </row>
    <row r="24" spans="2:14" x14ac:dyDescent="0.35">
      <c r="G24" s="2" t="s">
        <v>32</v>
      </c>
      <c r="H24" s="5">
        <v>7.4312906074515669E-2</v>
      </c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Александр Стариков</cp:lastModifiedBy>
  <dcterms:created xsi:type="dcterms:W3CDTF">2015-06-05T18:19:34Z</dcterms:created>
  <dcterms:modified xsi:type="dcterms:W3CDTF">2026-09-14T12:02:18Z</dcterms:modified>
</cp:coreProperties>
</file>